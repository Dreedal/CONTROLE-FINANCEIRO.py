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A1DD301F-A2FA-440E-AEA0-0724C11F571A}" xr6:coauthVersionLast="47" xr6:coauthVersionMax="47" xr10:uidLastSave="{00000000-0000-0000-0000-000000000000}"/>
  <bookViews>
    <workbookView xWindow="-120" yWindow="-120" windowWidth="20640" windowHeight="11040" activeTab="1" xr2:uid="{00000000-000D-0000-FFFF-FFFF00000000}"/>
  </bookViews>
  <sheets>
    <sheet name="DASHBOARD" sheetId="4" r:id="rId1"/>
    <sheet name="BASE" sheetId="1" r:id="rId2"/>
    <sheet name="DADOS" sheetId="3" r:id="rId3"/>
    <sheet name="BASE DE CALCULO" sheetId="5" r:id="rId4"/>
  </sheets>
  <definedNames>
    <definedName name="_xlnm._FilterDatabase" localSheetId="1" hidden="1">BASE!$A$1:$G$36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" i="4" l="1" a="1"/>
  <c r="D3" i="5" l="1"/>
  <c r="D7" i="5"/>
  <c r="D15" i="5"/>
  <c r="D4" i="5"/>
  <c r="D8" i="5"/>
  <c r="D12" i="5"/>
  <c r="D2" i="5"/>
  <c r="B4" i="5"/>
  <c r="C11" i="4"/>
  <c r="B6" i="5"/>
  <c r="C7" i="4"/>
  <c r="B5" i="5"/>
  <c r="D5" i="5"/>
  <c r="D9" i="5"/>
  <c r="D13" i="5"/>
  <c r="B3" i="5"/>
  <c r="D7" i="4"/>
  <c r="D6" i="5"/>
  <c r="D10" i="5"/>
  <c r="D14" i="5"/>
  <c r="B2" i="5"/>
  <c r="D11" i="5"/>
  <c r="D11" i="4"/>
  <c r="B18" i="4"/>
  <c r="B16" i="5" l="1"/>
  <c r="D16" i="5"/>
  <c r="B11" i="4"/>
  <c r="B7" i="4"/>
  <c r="A16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<sst xmlns="http://schemas.openxmlformats.org/spreadsheetml/2006/main" count="545" uniqueCount="65">
  <si>
    <t>Descrição</t>
  </si>
  <si>
    <t>Valor</t>
  </si>
  <si>
    <t>Categoria</t>
  </si>
  <si>
    <t>Tipo</t>
  </si>
  <si>
    <t>Parcelas</t>
  </si>
  <si>
    <t>Nubank</t>
  </si>
  <si>
    <t>Tim</t>
  </si>
  <si>
    <t>DIA A DIA</t>
  </si>
  <si>
    <t>Calcinhas</t>
  </si>
  <si>
    <t>Exames</t>
  </si>
  <si>
    <t>Celular</t>
  </si>
  <si>
    <t>Mercado Livre</t>
  </si>
  <si>
    <t>Bateria Carro</t>
  </si>
  <si>
    <t>Manutenção Carro</t>
  </si>
  <si>
    <t>Presente mãe</t>
  </si>
  <si>
    <t>Ração</t>
  </si>
  <si>
    <t>Convênio</t>
  </si>
  <si>
    <t>Água e Energia</t>
  </si>
  <si>
    <t>Passagem P</t>
  </si>
  <si>
    <t>Passagem F</t>
  </si>
  <si>
    <t>Mercado</t>
  </si>
  <si>
    <t>Contas Variáveis</t>
  </si>
  <si>
    <t>Cartão de Crédito</t>
  </si>
  <si>
    <t>Picados</t>
  </si>
  <si>
    <t>Fixos</t>
  </si>
  <si>
    <t>Receita</t>
  </si>
  <si>
    <t>Subcategoria</t>
  </si>
  <si>
    <t>Fatura/Débito</t>
  </si>
  <si>
    <t>Telefonia</t>
  </si>
  <si>
    <t>Alimentação</t>
  </si>
  <si>
    <t>Pessoal</t>
  </si>
  <si>
    <t>Saúde</t>
  </si>
  <si>
    <t>Tecnologia</t>
  </si>
  <si>
    <t>Compras Online</t>
  </si>
  <si>
    <t>Automóvel</t>
  </si>
  <si>
    <t>Presentes</t>
  </si>
  <si>
    <t>Pets</t>
  </si>
  <si>
    <t>Casa</t>
  </si>
  <si>
    <t>Transporte</t>
  </si>
  <si>
    <t>Principal</t>
  </si>
  <si>
    <t>Extra</t>
  </si>
  <si>
    <t>RECEITA</t>
  </si>
  <si>
    <t>Despesa</t>
  </si>
  <si>
    <t>DESPESA</t>
  </si>
  <si>
    <t>SALDO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</si>
  <si>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</si>
  <si>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</si>
  <si>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</si>
  <si>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</si>
  <si>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</si>
  <si>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</si>
  <si>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</si>
  <si>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</si>
  <si>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</si>
  <si>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</si>
  <si>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</si>
  <si>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</si>
  <si>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</si>
  <si>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</si>
  <si>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Salário Paulo</t>
  </si>
  <si>
    <t>Salário Fernanda</t>
  </si>
  <si>
    <t>FUTURA RECEITA</t>
  </si>
  <si>
    <t>FUTURA DESPESA</t>
  </si>
  <si>
    <t>SALDO FUTURO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</si>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</sst>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#,##0.00_ ;[Red]\-#,##0.00\ 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9">
    <xf numFmtId="0" fontId="0" fillId="0" borderId="0" xfId="0"/>
    <xf numFmtId="44" fontId="0" fillId="0" borderId="0" xfId="1" applyFont="1"/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44" fontId="1" fillId="0" borderId="2" xfId="1" applyFont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164" fontId="9" fillId="5" borderId="0" xfId="1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44" fontId="7" fillId="4" borderId="0" xfId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44" fontId="1" fillId="3" borderId="0" xfId="1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64" fontId="11" fillId="5" borderId="0" xfId="1" applyNumberFormat="1" applyFont="1" applyFill="1" applyBorder="1" applyAlignment="1">
      <alignment horizontal="center" vertical="center"/>
    </xf>
    <xf numFmtId="44" fontId="5" fillId="4" borderId="0" xfId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44" fontId="0" fillId="4" borderId="0" xfId="1" applyFont="1" applyFill="1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44" fontId="3" fillId="2" borderId="1" xfId="1" applyFont="1" applyFill="1" applyBorder="1" applyAlignment="1">
      <alignment horizontal="center" vertical="center"/>
    </xf>
    <xf numFmtId="44" fontId="0" fillId="0" borderId="0" xfId="1" applyFont="1" applyAlignment="1">
      <alignment horizontal="left"/>
    </xf>
    <xf numFmtId="44" fontId="1" fillId="0" borderId="0" xfId="1" applyFont="1"/>
  </cellXfs>
  <cellStyles count="2">
    <cellStyle name="Moeda" xfId="1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84A-418B-8D58-98111EDFDA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84A-418B-8D58-98111EDFDA5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DASHBOARD!$C$6:$D$6</c:f>
              <c:strCache>
                <c:ptCount val="2"/>
                <c:pt idx="0">
                  <c:v>RECEITA</c:v>
                </c:pt>
                <c:pt idx="1">
                  <c:v>DESPESA</c:v>
                </c:pt>
              </c:strCache>
            </c:strRef>
          </c:cat>
          <c:val>
            <c:numRef>
              <c:f>DASHBOARD!$C$7:$D$7</c:f>
              <c:numCache>
                <c:formatCode>_("R$"* #,##0.00_);_("R$"* \(#,##0.00\);_("R$"* "-"??_);_(@_)</c:formatCode>
                <c:ptCount val="2"/>
                <c:pt idx="0">
                  <c:v>5050</c:v>
                </c:pt>
                <c:pt idx="1">
                  <c:v>2882.38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0-4108-AAC2-559701B1B8F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'BASE DE CALCULO'!$B$1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11-4A7D-A6D2-CE1AAFEE52E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11-4A7D-A6D2-CE1AAFEE52E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11-4A7D-A6D2-CE1AAFEE52E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11-4A7D-A6D2-CE1AAFEE52E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D11-4A7D-A6D2-CE1AAFEE52E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 DE CALCULO'!$A$2:$A$6</c:f>
              <c:strCache>
                <c:ptCount val="5"/>
                <c:pt idx="0">
                  <c:v>Cartão de Crédito</c:v>
                </c:pt>
                <c:pt idx="1">
                  <c:v>Contas Variáveis</c:v>
                </c:pt>
                <c:pt idx="2">
                  <c:v>Fixos</c:v>
                </c:pt>
                <c:pt idx="3">
                  <c:v>Picados</c:v>
                </c:pt>
                <c:pt idx="4">
                  <c:v>Receita</c:v>
                </c:pt>
              </c:strCache>
            </c:strRef>
          </c:cat>
          <c:val>
            <c:numRef>
              <c:f>'BASE DE CALCULO'!$B$2:$B$6</c:f>
              <c:numCache>
                <c:formatCode>_("R$"* #,##0.00_);_("R$"* \(#,##0.00\);_("R$"* "-"??_);_(@_)</c:formatCode>
                <c:ptCount val="5"/>
                <c:pt idx="0">
                  <c:v>805.33</c:v>
                </c:pt>
                <c:pt idx="1">
                  <c:v>896.05</c:v>
                </c:pt>
                <c:pt idx="2">
                  <c:v>1161</c:v>
                </c:pt>
                <c:pt idx="3">
                  <c:v>20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11-4A7D-A6D2-CE1AAFEE52E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79128227783408"/>
          <c:y val="7.2250390666484615E-2"/>
          <c:w val="0.36568453695763276"/>
          <c:h val="0.8554986118064721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71438</xdr:colOff>
      <xdr:row>0</xdr:row>
      <xdr:rowOff>42862</xdr:rowOff>
    </xdr:from>
    <xdr:to>
      <xdr:col>9</xdr:col>
      <xdr:colOff>809626</xdr:colOff>
      <xdr:row>6</xdr:row>
      <xdr:rowOff>333375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</xdr:row>
          <xdr:rowOff>95250</xdr:rowOff>
        </xdr:from>
        <xdr:to>
          <xdr:col>7</xdr:col>
          <xdr:colOff>800100</xdr:colOff>
          <xdr:row>4</xdr:row>
          <xdr:rowOff>28575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66675</xdr:colOff>
      <xdr:row>7</xdr:row>
      <xdr:rowOff>47625</xdr:rowOff>
    </xdr:from>
    <xdr:to>
      <xdr:col>9</xdr:col>
      <xdr:colOff>800100</xdr:colOff>
      <xdr:row>15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8FA232-3A06-479F-90AD-5AA7DA8B80FC}" name="Tabela1" displayName="Tabela1" ref="A1:G1048574" totalsRowShown="0" headerRowDxfId="10" dataDxfId="8" headerRowBorderDxfId="9" tableBorderDxfId="7">
  <autoFilter ref="A1:G1048574" xr:uid="{138FA232-3A06-479F-90AD-5AA7DA8B80FC}"/>
  <tableColumns count="7">
    <tableColumn id="1" xr3:uid="{605A3289-EC4D-4951-AC26-4134CE76411C}" name="Descrição" dataDxfId="6"/>
    <tableColumn id="2" xr3:uid="{897C1040-5498-46B0-9AE8-7E976E7069F9}" name="Categoria" dataDxfId="5"/>
    <tableColumn id="3" xr3:uid="{32843651-7B48-4B89-B1A6-35E2D55F31E9}" name="Subcategoria" dataDxfId="4"/>
    <tableColumn id="4" xr3:uid="{EFD37E18-FD0A-45D7-B333-935266CFADF0}" name="Parcelas" dataDxfId="3"/>
    <tableColumn id="5" xr3:uid="{699E6668-BC90-4A1F-AED5-AAA8C8D7B971}" name="Mês" dataDxfId="2"/>
    <tableColumn id="6" xr3:uid="{A894B59B-6FD2-4A4F-9731-16480CCF1F54}" name="Tipo" dataDxfId="1"/>
    <tableColumn id="7" xr3:uid="{C8E3AC32-581B-4E48-BF7C-B998B0DD48B5}" name="Valor" dataDxfId="0" dataCellStyle="Moed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C54F-1CFC-4D76-8E16-8916289EA0DE}">
  <dimension ref="B1:H35"/>
  <sheetViews>
    <sheetView showGridLines="0" zoomScale="109" zoomScaleNormal="70" workbookViewId="0">
      <selection activeCell="E9" sqref="E9"/>
    </sheetView>
  </sheetViews>
  <sheetFormatPr defaultRowHeight="15" x14ac:dyDescent="0.25"/>
  <cols>
    <col min="2" max="2" width="19.140625" style="4" bestFit="1" customWidth="1"/>
    <col min="3" max="4" width="18.28515625" style="4" bestFit="1" customWidth="1"/>
    <col min="5" max="5" width="11.7109375" style="4" bestFit="1" customWidth="1"/>
    <col min="6" max="6" width="6.42578125" style="4" bestFit="1" customWidth="1"/>
    <col min="7" max="7" width="9.7109375" style="4" bestFit="1" customWidth="1"/>
    <col min="8" max="8" width="15" style="5" bestFit="1" customWidth="1"/>
    <col min="9" max="9" width="32.28515625" bestFit="1" customWidth="1"/>
    <col min="10" max="10" width="29.140625" bestFit="1" customWidth="1"/>
    <col min="11" max="11" width="30.42578125" bestFit="1" customWidth="1"/>
  </cols>
  <sheetData>
    <row r="1" spans="2:8" x14ac:dyDescent="0.25">
      <c r="B1" s="15" t="s">
        <v>0</v>
      </c>
      <c r="C1" s="15" t="s">
        <v>2</v>
      </c>
      <c r="D1" s="15" t="s">
        <v>26</v>
      </c>
      <c r="E1" s="15" t="s">
        <v>4</v>
      </c>
      <c r="F1" s="15" t="s">
        <v>58</v>
      </c>
      <c r="G1" s="15" t="s">
        <v>3</v>
      </c>
      <c r="H1" s="16" t="s">
        <v>1</v>
      </c>
    </row>
    <row r="2" spans="2:8" x14ac:dyDescent="0.25">
      <c r="B2" s="21"/>
      <c r="C2" s="21"/>
      <c r="D2" s="21"/>
      <c r="E2" s="21"/>
      <c r="F2" s="21"/>
      <c r="G2" s="21"/>
      <c r="H2" s="22"/>
    </row>
    <row r="6" spans="2:8" ht="31.5" x14ac:dyDescent="0.25">
      <c r="B6" s="9" t="s">
        <v>44</v>
      </c>
      <c r="C6" s="11" t="s">
        <v>41</v>
      </c>
      <c r="D6" s="11" t="s">
        <v>43</v>
      </c>
    </row>
    <row r="7" spans="2:8" s="1" customFormat="1" ht="31.5" x14ac:dyDescent="0.25">
      <c r="B7" s="10">
        <f>C7-D7</f>
        <v>2167.62</v>
      </c>
      <c r="C7" s="12">
        <f>SUMIF($G$17:$G$1048576,C6,$H$17:$H$1048576)</f>
        <v>5050</v>
      </c>
      <c r="D7" s="12">
        <f>SUMIF($G$17:$G$1048576,D6,$H$17:$H$1048576)</f>
        <v>2882.38</v>
      </c>
      <c r="E7" s="5"/>
      <c r="F7" s="5"/>
      <c r="G7" s="5"/>
      <c r="H7" s="5"/>
    </row>
    <row r="10" spans="2:8" ht="15.75" x14ac:dyDescent="0.25">
      <c r="B10" s="17" t="s">
        <v>63</v>
      </c>
      <c r="C10" s="18" t="s">
        <v>61</v>
      </c>
      <c r="D10" s="18" t="s">
        <v>62</v>
      </c>
    </row>
    <row r="11" spans="2:8" ht="15.75" x14ac:dyDescent="0.25">
      <c r="B11" s="19">
        <f>C11-D11</f>
        <v>24998.34</v>
      </c>
      <c r="C11" s="20">
        <f>SUMIF(Tabela1[[#All],[Tipo]],DASHBOARD!C6,Tabela1[[#All],[Valor]])-SUMIF($G$17:$G$1048576,C6,$H$17:$H$1048576)</f>
        <v>35350</v>
      </c>
      <c r="D11" s="20">
        <f>SUMIF(Tabela1[[#All],[Tipo]],DASHBOARD!D6,Tabela1[[#All],[Valor]])-SUMIF($G$17:$G$1048576,D6,$H$17:$H$1048576)</f>
        <v>10351.66</v>
      </c>
    </row>
    <row r="15" spans="2:8" ht="18.75" x14ac:dyDescent="0.25">
      <c r="B15" s="13" t="s">
        <v>45</v>
      </c>
      <c r="C15" s="14" t="s">
        <v>50</v>
      </c>
    </row>
    <row r="17" spans="2:8" x14ac:dyDescent="0.25">
      <c r="B17" s="15" t="s">
        <v>0</v>
      </c>
      <c r="C17" s="15" t="s">
        <v>2</v>
      </c>
      <c r="D17" s="15" t="s">
        <v>26</v>
      </c>
      <c r="E17" s="15" t="s">
        <v>4</v>
      </c>
      <c r="F17" s="15" t="s">
        <v>58</v>
      </c>
      <c r="G17" s="15" t="s">
        <v>3</v>
      </c>
      <c r="H17" s="16" t="s">
        <v>1</v>
      </c>
    </row>
    <row r="18" spans="2:8" x14ac:dyDescent="0.25">
      <c r="B18" s="4" t="str" cm="1">
        <f t="array" ref="B18:H35">_xlfn._xlws.FILTER(Tabela1[#All],Tabela1[[#All],[Mês]]=DASHBOARD!C15)</f>
        <v>Nubank</v>
      </c>
      <c r="C18" s="4" t="str">
        <v>Contas Variáveis</v>
      </c>
      <c r="D18" s="4" t="str">
        <v>Fatura/Débito</v>
      </c>
      <c r="E18" s="4">
        <v>1</v>
      </c>
      <c r="F18" s="4" t="str">
        <v>MAIO</v>
      </c>
      <c r="G18" s="4" t="str">
        <v>Despesa</v>
      </c>
      <c r="H18" s="5">
        <v>200</v>
      </c>
    </row>
    <row r="19" spans="2:8" x14ac:dyDescent="0.25">
      <c r="B19" s="4" t="str">
        <v>Tim</v>
      </c>
      <c r="C19" s="4" t="str">
        <v>Contas Variáveis</v>
      </c>
      <c r="D19" s="4" t="str">
        <v>Telefonia</v>
      </c>
      <c r="E19" s="4">
        <v>1</v>
      </c>
      <c r="F19" s="4" t="str">
        <v>MAIO</v>
      </c>
      <c r="G19" s="4" t="str">
        <v>Despesa</v>
      </c>
      <c r="H19" s="5">
        <v>200</v>
      </c>
    </row>
    <row r="20" spans="2:8" x14ac:dyDescent="0.25">
      <c r="B20" s="4" t="str">
        <v>DIA A DIA</v>
      </c>
      <c r="C20" s="4" t="str">
        <v>Contas Variáveis</v>
      </c>
      <c r="D20" s="4" t="str">
        <v>Alimentação</v>
      </c>
      <c r="E20" s="4">
        <v>1</v>
      </c>
      <c r="F20" s="4" t="str">
        <v>MAIO</v>
      </c>
      <c r="G20" s="4" t="str">
        <v>Despesa</v>
      </c>
      <c r="H20" s="5">
        <v>319.05</v>
      </c>
    </row>
    <row r="21" spans="2:8" x14ac:dyDescent="0.25">
      <c r="B21" s="4" t="str">
        <v>Calcinhas</v>
      </c>
      <c r="C21" s="4" t="str">
        <v>Contas Variáveis</v>
      </c>
      <c r="D21" s="4" t="str">
        <v>Pessoal</v>
      </c>
      <c r="E21" s="4">
        <v>1</v>
      </c>
      <c r="F21" s="4" t="str">
        <v>MAIO</v>
      </c>
      <c r="G21" s="4" t="str">
        <v>Despesa</v>
      </c>
      <c r="H21" s="5">
        <v>177</v>
      </c>
    </row>
    <row r="22" spans="2:8" x14ac:dyDescent="0.25">
      <c r="B22" s="4" t="str">
        <v>Exames</v>
      </c>
      <c r="C22" s="4" t="str">
        <v>Cartão de Crédito</v>
      </c>
      <c r="D22" s="4" t="str">
        <v>Saúde</v>
      </c>
      <c r="E22" s="4">
        <v>3</v>
      </c>
      <c r="F22" s="4" t="str">
        <v>MAIO</v>
      </c>
      <c r="G22" s="4" t="str">
        <v>Despesa</v>
      </c>
      <c r="H22" s="5">
        <v>163.33000000000001</v>
      </c>
    </row>
    <row r="23" spans="2:8" x14ac:dyDescent="0.25">
      <c r="B23" s="4" t="str">
        <v>Celular</v>
      </c>
      <c r="C23" s="4" t="str">
        <v>Cartão de Crédito</v>
      </c>
      <c r="D23" s="4" t="str">
        <v>Tecnologia</v>
      </c>
      <c r="E23" s="4">
        <v>4</v>
      </c>
      <c r="F23" s="4" t="str">
        <v>MAIO</v>
      </c>
      <c r="G23" s="4" t="str">
        <v>Despesa</v>
      </c>
      <c r="H23" s="5">
        <v>450</v>
      </c>
    </row>
    <row r="24" spans="2:8" x14ac:dyDescent="0.25">
      <c r="B24" s="4" t="str">
        <v>Mercado Livre</v>
      </c>
      <c r="C24" s="4" t="str">
        <v>Cartão de Crédito</v>
      </c>
      <c r="D24" s="4" t="str">
        <v>Compras Online</v>
      </c>
      <c r="E24" s="4">
        <v>1</v>
      </c>
      <c r="F24" s="4" t="str">
        <v>MAIO</v>
      </c>
      <c r="G24" s="4" t="str">
        <v>Despesa</v>
      </c>
      <c r="H24" s="5">
        <v>85</v>
      </c>
    </row>
    <row r="25" spans="2:8" x14ac:dyDescent="0.25">
      <c r="B25" s="4" t="str">
        <v>Bateria Carro</v>
      </c>
      <c r="C25" s="4" t="str">
        <v>Cartão de Crédito</v>
      </c>
      <c r="D25" s="4" t="str">
        <v>Automóvel</v>
      </c>
      <c r="E25" s="4">
        <v>5</v>
      </c>
      <c r="F25" s="4" t="str">
        <v>MAIO</v>
      </c>
      <c r="G25" s="4" t="str">
        <v>Despesa</v>
      </c>
      <c r="H25" s="5">
        <v>47</v>
      </c>
    </row>
    <row r="26" spans="2:8" x14ac:dyDescent="0.25">
      <c r="B26" s="4" t="str">
        <v>Manutenção Carro</v>
      </c>
      <c r="C26" s="4" t="str">
        <v>Cartão de Crédito</v>
      </c>
      <c r="D26" s="4" t="str">
        <v>Automóvel</v>
      </c>
      <c r="E26" s="4">
        <v>6</v>
      </c>
      <c r="F26" s="4" t="str">
        <v>MAIO</v>
      </c>
      <c r="G26" s="4" t="str">
        <v>Despesa</v>
      </c>
      <c r="H26" s="5">
        <v>60</v>
      </c>
    </row>
    <row r="27" spans="2:8" x14ac:dyDescent="0.25">
      <c r="B27" s="4" t="str">
        <v>Presente mãe</v>
      </c>
      <c r="C27" s="4" t="str">
        <v>Picados</v>
      </c>
      <c r="D27" s="4" t="str">
        <v>Presentes</v>
      </c>
      <c r="E27" s="4">
        <v>4</v>
      </c>
      <c r="F27" s="4" t="str">
        <v>MAIO</v>
      </c>
      <c r="G27" s="4" t="str">
        <v>Despesa</v>
      </c>
      <c r="H27" s="5">
        <v>20</v>
      </c>
    </row>
    <row r="28" spans="2:8" x14ac:dyDescent="0.25">
      <c r="B28" s="4" t="str">
        <v>Ração</v>
      </c>
      <c r="C28" s="4" t="str">
        <v>Fixos</v>
      </c>
      <c r="D28" s="4" t="str">
        <v>Pets</v>
      </c>
      <c r="E28" s="4">
        <v>8</v>
      </c>
      <c r="F28" s="4" t="str">
        <v>MAIO</v>
      </c>
      <c r="G28" s="4" t="str">
        <v>Despesa</v>
      </c>
      <c r="H28" s="5">
        <v>60</v>
      </c>
    </row>
    <row r="29" spans="2:8" x14ac:dyDescent="0.25">
      <c r="B29" s="4" t="str">
        <v>Convênio</v>
      </c>
      <c r="C29" s="4" t="str">
        <v>Fixos</v>
      </c>
      <c r="D29" s="4" t="str">
        <v>Saúde</v>
      </c>
      <c r="E29" s="4">
        <v>8</v>
      </c>
      <c r="F29" s="4" t="str">
        <v>MAIO</v>
      </c>
      <c r="G29" s="4" t="str">
        <v>Despesa</v>
      </c>
      <c r="H29" s="5">
        <v>10</v>
      </c>
    </row>
    <row r="30" spans="2:8" x14ac:dyDescent="0.25">
      <c r="B30" s="4" t="str">
        <v>Água e Energia</v>
      </c>
      <c r="C30" s="4" t="str">
        <v>Fixos</v>
      </c>
      <c r="D30" s="4" t="str">
        <v>Casa</v>
      </c>
      <c r="E30" s="4">
        <v>8</v>
      </c>
      <c r="F30" s="4" t="str">
        <v>MAIO</v>
      </c>
      <c r="G30" s="4" t="str">
        <v>Despesa</v>
      </c>
      <c r="H30" s="5">
        <v>300</v>
      </c>
    </row>
    <row r="31" spans="2:8" x14ac:dyDescent="0.25">
      <c r="B31" s="4" t="str">
        <v>Passagem P</v>
      </c>
      <c r="C31" s="4" t="str">
        <v>Fixos</v>
      </c>
      <c r="D31" s="4" t="str">
        <v>Transporte</v>
      </c>
      <c r="E31" s="4">
        <v>8</v>
      </c>
      <c r="F31" s="4" t="str">
        <v>MAIO</v>
      </c>
      <c r="G31" s="4" t="str">
        <v>Despesa</v>
      </c>
      <c r="H31" s="5">
        <v>280</v>
      </c>
    </row>
    <row r="32" spans="2:8" x14ac:dyDescent="0.25">
      <c r="B32" s="4" t="str">
        <v>Passagem F</v>
      </c>
      <c r="C32" s="4" t="str">
        <v>Fixos</v>
      </c>
      <c r="D32" s="4" t="str">
        <v>Transporte</v>
      </c>
      <c r="E32" s="4">
        <v>8</v>
      </c>
      <c r="F32" s="4" t="str">
        <v>MAIO</v>
      </c>
      <c r="G32" s="4" t="str">
        <v>Despesa</v>
      </c>
      <c r="H32" s="5">
        <v>330</v>
      </c>
    </row>
    <row r="33" spans="2:8" x14ac:dyDescent="0.25">
      <c r="B33" s="4" t="str">
        <v>Mercado</v>
      </c>
      <c r="C33" s="4" t="str">
        <v>Fixos</v>
      </c>
      <c r="D33" s="4" t="str">
        <v>Alimentação</v>
      </c>
      <c r="E33" s="4">
        <v>8</v>
      </c>
      <c r="F33" s="4" t="str">
        <v>MAIO</v>
      </c>
      <c r="G33" s="4" t="str">
        <v>Despesa</v>
      </c>
      <c r="H33" s="5">
        <v>181</v>
      </c>
    </row>
    <row r="34" spans="2:8" x14ac:dyDescent="0.25">
      <c r="B34" s="4" t="str">
        <v>Salário Paulo</v>
      </c>
      <c r="C34" s="4" t="str">
        <v>Receita</v>
      </c>
      <c r="D34" s="4" t="str">
        <v>Principal</v>
      </c>
      <c r="E34" s="4">
        <v>8</v>
      </c>
      <c r="F34" s="4" t="str">
        <v>MAIO</v>
      </c>
      <c r="G34" s="4" t="str">
        <v>Receita</v>
      </c>
      <c r="H34" s="5">
        <v>3400</v>
      </c>
    </row>
    <row r="35" spans="2:8" x14ac:dyDescent="0.25">
      <c r="B35" s="4" t="str">
        <v>Salário Fernanda</v>
      </c>
      <c r="C35" s="4" t="str">
        <v>Receita</v>
      </c>
      <c r="D35" s="4" t="str">
        <v>Extra</v>
      </c>
      <c r="E35" s="4">
        <v>8</v>
      </c>
      <c r="F35" s="4" t="str">
        <v>MAIO</v>
      </c>
      <c r="G35" s="4" t="str">
        <v>Receita</v>
      </c>
      <c r="H35" s="5">
        <v>1650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REGISTRAR">
                <anchor moveWithCells="1" sizeWithCells="1">
                  <from>
                    <xdr:col>7</xdr:col>
                    <xdr:colOff>28575</xdr:colOff>
                    <xdr:row>2</xdr:row>
                    <xdr:rowOff>95250</xdr:rowOff>
                  </from>
                  <to>
                    <xdr:col>7</xdr:col>
                    <xdr:colOff>800100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BE89016-C989-48E9-AD35-327FD0BCF968}">
          <x14:formula1>
            <xm:f>DADOS!$A$2:$A$13</xm:f>
          </x14:formula1>
          <xm:sqref>C15 F2</xm:sqref>
        </x14:dataValidation>
        <x14:dataValidation type="list" allowBlank="1" showInputMessage="1" showErrorMessage="1" xr:uid="{8DB47CB8-E040-4621-A9CD-45E173411D66}">
          <x14:formula1>
            <xm:f>DADOS!$B$2:$B$6</xm:f>
          </x14:formula1>
          <xm:sqref>C2</xm:sqref>
        </x14:dataValidation>
        <x14:dataValidation type="list" allowBlank="1" showInputMessage="1" showErrorMessage="1" xr:uid="{9CC2DBD5-E3C3-4374-9866-9242BCE5072C}">
          <x14:formula1>
            <xm:f>DADOS!$C$2:$C$15</xm:f>
          </x14:formula1>
          <xm:sqref>D2</xm:sqref>
        </x14:dataValidation>
        <x14:dataValidation type="list" allowBlank="1" showInputMessage="1" showErrorMessage="1" xr:uid="{FD9A4CE6-4718-4883-8E6E-1BC3F58F202A}">
          <x14:formula1>
            <xm:f>DADOS!$D$2:$D$13</xm:f>
          </x14:formula1>
          <xm:sqref>E2</xm:sqref>
        </x14:dataValidation>
        <x14:dataValidation type="list" allowBlank="1" showInputMessage="1" showErrorMessage="1" xr:uid="{0D158932-A777-4A8A-891B-DBB74C976BA4}">
          <x14:formula1>
            <xm:f>DADOS!$E$2:$E$4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92"/>
  <sheetViews>
    <sheetView tabSelected="1" topLeftCell="A92" workbookViewId="0">
      <selection activeCell="A95" sqref="A95"/>
    </sheetView>
  </sheetViews>
  <sheetFormatPr defaultRowHeight="15" x14ac:dyDescent="0.25"/>
  <cols>
    <col min="1" max="1" width="18.42578125" style="4" bestFit="1" customWidth="1"/>
    <col min="2" max="2" width="16.5703125" style="4" bestFit="1" customWidth="1"/>
    <col min="3" max="3" width="17" style="4" bestFit="1" customWidth="1"/>
    <col min="4" max="4" width="12.85546875" style="4" bestFit="1" customWidth="1"/>
    <col min="5" max="5" width="11.5703125" style="4" bestFit="1" customWidth="1"/>
    <col min="6" max="6" width="9.42578125" style="4" bestFit="1" customWidth="1"/>
    <col min="7" max="7" width="12.140625" style="5" bestFit="1" customWidth="1"/>
  </cols>
  <sheetData>
    <row r="1" spans="1:7" x14ac:dyDescent="0.25">
      <c r="A1" s="6" t="s">
        <v>0</v>
      </c>
      <c r="B1" s="6" t="s">
        <v>2</v>
      </c>
      <c r="C1" s="6" t="s">
        <v>26</v>
      </c>
      <c r="D1" s="6" t="s">
        <v>4</v>
      </c>
      <c r="E1" s="6" t="s">
        <v>58</v>
      </c>
      <c r="F1" s="7" t="s">
        <v>3</v>
      </c>
      <c r="G1" s="8" t="s">
        <v>1</v>
      </c>
    </row>
    <row r="2" spans="1:7" x14ac:dyDescent="0.25">
      <c r="A2" s="2" t="s">
        <v>5</v>
      </c>
      <c r="B2" s="2" t="s">
        <v>21</v>
      </c>
      <c r="C2" s="2" t="s">
        <v>27</v>
      </c>
      <c r="D2" s="2">
        <v>1</v>
      </c>
      <c r="E2" s="2" t="s">
        <v>50</v>
      </c>
      <c r="F2" s="2" t="s">
        <v>42</v>
      </c>
      <c r="G2" s="3">
        <v>200</v>
      </c>
    </row>
    <row r="3" spans="1:7" x14ac:dyDescent="0.25">
      <c r="A3" s="2" t="s">
        <v>6</v>
      </c>
      <c r="B3" s="2" t="s">
        <v>21</v>
      </c>
      <c r="C3" s="2" t="s">
        <v>28</v>
      </c>
      <c r="D3" s="2">
        <v>1</v>
      </c>
      <c r="E3" s="2" t="s">
        <v>50</v>
      </c>
      <c r="F3" s="2" t="s">
        <v>42</v>
      </c>
      <c r="G3" s="3">
        <v>200</v>
      </c>
    </row>
    <row r="4" spans="1:7" x14ac:dyDescent="0.25">
      <c r="A4" s="2" t="s">
        <v>7</v>
      </c>
      <c r="B4" s="2" t="s">
        <v>21</v>
      </c>
      <c r="C4" s="2" t="s">
        <v>29</v>
      </c>
      <c r="D4" s="2">
        <v>1</v>
      </c>
      <c r="E4" s="2" t="s">
        <v>50</v>
      </c>
      <c r="F4" s="2" t="s">
        <v>42</v>
      </c>
      <c r="G4" s="3">
        <v>319.05</v>
      </c>
    </row>
    <row r="5" spans="1:7" x14ac:dyDescent="0.25">
      <c r="A5" s="2" t="s">
        <v>8</v>
      </c>
      <c r="B5" s="2" t="s">
        <v>21</v>
      </c>
      <c r="C5" s="2" t="s">
        <v>30</v>
      </c>
      <c r="D5" s="2">
        <v>1</v>
      </c>
      <c r="E5" s="2" t="s">
        <v>50</v>
      </c>
      <c r="F5" s="2" t="s">
        <v>42</v>
      </c>
      <c r="G5" s="3">
        <v>177</v>
      </c>
    </row>
    <row r="6" spans="1:7" x14ac:dyDescent="0.25">
      <c r="A6" s="2" t="s">
        <v>9</v>
      </c>
      <c r="B6" s="2" t="s">
        <v>22</v>
      </c>
      <c r="C6" s="2" t="s">
        <v>31</v>
      </c>
      <c r="D6" s="2">
        <v>3</v>
      </c>
      <c r="E6" s="2" t="s">
        <v>50</v>
      </c>
      <c r="F6" s="2" t="s">
        <v>42</v>
      </c>
      <c r="G6" s="3">
        <v>163.33000000000001</v>
      </c>
    </row>
    <row r="7" spans="1:7" x14ac:dyDescent="0.25">
      <c r="A7" s="2" t="s">
        <v>10</v>
      </c>
      <c r="B7" s="2" t="s">
        <v>22</v>
      </c>
      <c r="C7" s="2" t="s">
        <v>32</v>
      </c>
      <c r="D7" s="2">
        <v>4</v>
      </c>
      <c r="E7" s="2" t="s">
        <v>50</v>
      </c>
      <c r="F7" s="2" t="s">
        <v>42</v>
      </c>
      <c r="G7" s="3">
        <v>450</v>
      </c>
    </row>
    <row r="8" spans="1:7" x14ac:dyDescent="0.25">
      <c r="A8" s="2" t="s">
        <v>11</v>
      </c>
      <c r="B8" s="2" t="s">
        <v>22</v>
      </c>
      <c r="C8" s="2" t="s">
        <v>33</v>
      </c>
      <c r="D8" s="2">
        <v>1</v>
      </c>
      <c r="E8" s="2" t="s">
        <v>50</v>
      </c>
      <c r="F8" s="2" t="s">
        <v>42</v>
      </c>
      <c r="G8" s="3">
        <v>85</v>
      </c>
    </row>
    <row r="9" spans="1:7" x14ac:dyDescent="0.25">
      <c r="A9" s="2" t="s">
        <v>12</v>
      </c>
      <c r="B9" s="2" t="s">
        <v>22</v>
      </c>
      <c r="C9" s="2" t="s">
        <v>34</v>
      </c>
      <c r="D9" s="2">
        <v>5</v>
      </c>
      <c r="E9" s="2" t="s">
        <v>50</v>
      </c>
      <c r="F9" s="2" t="s">
        <v>42</v>
      </c>
      <c r="G9" s="3">
        <v>47</v>
      </c>
    </row>
    <row r="10" spans="1:7" x14ac:dyDescent="0.25">
      <c r="A10" s="2" t="s">
        <v>13</v>
      </c>
      <c r="B10" s="2" t="s">
        <v>22</v>
      </c>
      <c r="C10" s="2" t="s">
        <v>34</v>
      </c>
      <c r="D10" s="2">
        <v>6</v>
      </c>
      <c r="E10" s="2" t="s">
        <v>50</v>
      </c>
      <c r="F10" s="2" t="s">
        <v>42</v>
      </c>
      <c r="G10" s="3">
        <v>60</v>
      </c>
    </row>
    <row r="11" spans="1:7" x14ac:dyDescent="0.25">
      <c r="A11" s="2" t="s">
        <v>14</v>
      </c>
      <c r="B11" s="2" t="s">
        <v>23</v>
      </c>
      <c r="C11" s="2" t="s">
        <v>35</v>
      </c>
      <c r="D11" s="2">
        <v>4</v>
      </c>
      <c r="E11" s="2" t="s">
        <v>50</v>
      </c>
      <c r="F11" s="2" t="s">
        <v>42</v>
      </c>
      <c r="G11" s="3">
        <v>20</v>
      </c>
    </row>
    <row r="12" spans="1:7" x14ac:dyDescent="0.25">
      <c r="A12" s="2" t="s">
        <v>15</v>
      </c>
      <c r="B12" s="2" t="s">
        <v>24</v>
      </c>
      <c r="C12" s="2" t="s">
        <v>36</v>
      </c>
      <c r="D12" s="2">
        <v>8</v>
      </c>
      <c r="E12" s="2" t="s">
        <v>50</v>
      </c>
      <c r="F12" s="2" t="s">
        <v>42</v>
      </c>
      <c r="G12" s="3">
        <v>60</v>
      </c>
    </row>
    <row r="13" spans="1:7" x14ac:dyDescent="0.25">
      <c r="A13" s="2" t="s">
        <v>16</v>
      </c>
      <c r="B13" s="2" t="s">
        <v>24</v>
      </c>
      <c r="C13" s="2" t="s">
        <v>31</v>
      </c>
      <c r="D13" s="2">
        <v>8</v>
      </c>
      <c r="E13" s="2" t="s">
        <v>50</v>
      </c>
      <c r="F13" s="2" t="s">
        <v>42</v>
      </c>
      <c r="G13" s="3">
        <v>10</v>
      </c>
    </row>
    <row r="14" spans="1:7" x14ac:dyDescent="0.25">
      <c r="A14" s="2" t="s">
        <v>17</v>
      </c>
      <c r="B14" s="2" t="s">
        <v>24</v>
      </c>
      <c r="C14" s="2" t="s">
        <v>37</v>
      </c>
      <c r="D14" s="2">
        <v>8</v>
      </c>
      <c r="E14" s="2" t="s">
        <v>50</v>
      </c>
      <c r="F14" s="2" t="s">
        <v>42</v>
      </c>
      <c r="G14" s="3">
        <v>300</v>
      </c>
    </row>
    <row r="15" spans="1:7" x14ac:dyDescent="0.25">
      <c r="A15" s="2" t="s">
        <v>18</v>
      </c>
      <c r="B15" s="2" t="s">
        <v>24</v>
      </c>
      <c r="C15" s="2" t="s">
        <v>38</v>
      </c>
      <c r="D15" s="2">
        <v>8</v>
      </c>
      <c r="E15" s="2" t="s">
        <v>50</v>
      </c>
      <c r="F15" s="2" t="s">
        <v>42</v>
      </c>
      <c r="G15" s="3">
        <v>280</v>
      </c>
    </row>
    <row r="16" spans="1:7" x14ac:dyDescent="0.25">
      <c r="A16" s="2" t="s">
        <v>19</v>
      </c>
      <c r="B16" s="2" t="s">
        <v>24</v>
      </c>
      <c r="C16" s="2" t="s">
        <v>38</v>
      </c>
      <c r="D16" s="2">
        <v>8</v>
      </c>
      <c r="E16" s="2" t="s">
        <v>50</v>
      </c>
      <c r="F16" s="2" t="s">
        <v>42</v>
      </c>
      <c r="G16" s="3">
        <v>330</v>
      </c>
    </row>
    <row r="17" spans="1:7" x14ac:dyDescent="0.25">
      <c r="A17" s="2" t="s">
        <v>20</v>
      </c>
      <c r="B17" s="2" t="s">
        <v>24</v>
      </c>
      <c r="C17" s="2" t="s">
        <v>29</v>
      </c>
      <c r="D17" s="2">
        <v>8</v>
      </c>
      <c r="E17" s="2" t="s">
        <v>50</v>
      </c>
      <c r="F17" s="2" t="s">
        <v>42</v>
      </c>
      <c r="G17" s="3">
        <v>181</v>
      </c>
    </row>
    <row r="18" spans="1:7" x14ac:dyDescent="0.25">
      <c r="A18" s="2" t="s">
        <v>59</v>
      </c>
      <c r="B18" s="2" t="s">
        <v>25</v>
      </c>
      <c r="C18" s="2" t="s">
        <v>39</v>
      </c>
      <c r="D18" s="2">
        <v>8</v>
      </c>
      <c r="E18" s="2" t="s">
        <v>50</v>
      </c>
      <c r="F18" s="2" t="s">
        <v>25</v>
      </c>
      <c r="G18" s="3">
        <v>3400</v>
      </c>
    </row>
    <row r="19" spans="1:7" x14ac:dyDescent="0.25">
      <c r="A19" s="2" t="s">
        <v>60</v>
      </c>
      <c r="B19" s="2" t="s">
        <v>25</v>
      </c>
      <c r="C19" s="2" t="s">
        <v>40</v>
      </c>
      <c r="D19" s="2">
        <v>8</v>
      </c>
      <c r="E19" s="2" t="s">
        <v>50</v>
      </c>
      <c r="F19" s="2" t="s">
        <v>25</v>
      </c>
      <c r="G19" s="3">
        <v>1650</v>
      </c>
    </row>
    <row r="20" spans="1:7" x14ac:dyDescent="0.25">
      <c r="A20" s="2" t="s">
        <v>9</v>
      </c>
      <c r="B20" s="2" t="s">
        <v>22</v>
      </c>
      <c r="C20" s="2" t="s">
        <v>31</v>
      </c>
      <c r="D20" s="2">
        <v>2</v>
      </c>
      <c r="E20" s="2" t="s">
        <v>51</v>
      </c>
      <c r="F20" s="2" t="s">
        <v>42</v>
      </c>
      <c r="G20" s="3">
        <v>163.33000000000001</v>
      </c>
    </row>
    <row r="21" spans="1:7" x14ac:dyDescent="0.25">
      <c r="A21" s="2" t="s">
        <v>9</v>
      </c>
      <c r="B21" s="2" t="s">
        <v>22</v>
      </c>
      <c r="C21" s="2" t="s">
        <v>31</v>
      </c>
      <c r="D21" s="2">
        <v>1</v>
      </c>
      <c r="E21" s="2" t="s">
        <v>52</v>
      </c>
      <c r="F21" s="2" t="s">
        <v>42</v>
      </c>
      <c r="G21" s="3">
        <v>163.33000000000001</v>
      </c>
    </row>
    <row r="22" spans="1:7" x14ac:dyDescent="0.25">
      <c r="A22" s="2" t="s">
        <v>10</v>
      </c>
      <c r="B22" s="2" t="s">
        <v>22</v>
      </c>
      <c r="C22" s="2" t="s">
        <v>32</v>
      </c>
      <c r="D22" s="2">
        <v>3</v>
      </c>
      <c r="E22" s="2" t="s">
        <v>51</v>
      </c>
      <c r="F22" s="2" t="s">
        <v>42</v>
      </c>
      <c r="G22" s="3">
        <v>450</v>
      </c>
    </row>
    <row r="23" spans="1:7" x14ac:dyDescent="0.25">
      <c r="A23" s="2" t="s">
        <v>10</v>
      </c>
      <c r="B23" s="2" t="s">
        <v>22</v>
      </c>
      <c r="C23" s="2" t="s">
        <v>32</v>
      </c>
      <c r="D23" s="2">
        <v>2</v>
      </c>
      <c r="E23" s="2" t="s">
        <v>52</v>
      </c>
      <c r="F23" s="2" t="s">
        <v>42</v>
      </c>
      <c r="G23" s="3">
        <v>450</v>
      </c>
    </row>
    <row r="24" spans="1:7" x14ac:dyDescent="0.25">
      <c r="A24" s="2" t="s">
        <v>10</v>
      </c>
      <c r="B24" s="2" t="s">
        <v>22</v>
      </c>
      <c r="C24" s="2" t="s">
        <v>32</v>
      </c>
      <c r="D24" s="2">
        <v>1</v>
      </c>
      <c r="E24" s="2" t="s">
        <v>53</v>
      </c>
      <c r="F24" s="2" t="s">
        <v>42</v>
      </c>
      <c r="G24" s="3">
        <v>450</v>
      </c>
    </row>
    <row r="25" spans="1:7" x14ac:dyDescent="0.25">
      <c r="A25" s="2" t="s">
        <v>12</v>
      </c>
      <c r="B25" s="2" t="s">
        <v>22</v>
      </c>
      <c r="C25" s="2" t="s">
        <v>34</v>
      </c>
      <c r="D25" s="2">
        <v>4</v>
      </c>
      <c r="E25" s="2" t="s">
        <v>51</v>
      </c>
      <c r="F25" s="2" t="s">
        <v>42</v>
      </c>
      <c r="G25" s="3">
        <v>47</v>
      </c>
    </row>
    <row r="26" spans="1:7" x14ac:dyDescent="0.25">
      <c r="A26" s="2" t="s">
        <v>12</v>
      </c>
      <c r="B26" s="2" t="s">
        <v>22</v>
      </c>
      <c r="C26" s="2" t="s">
        <v>34</v>
      </c>
      <c r="D26" s="2">
        <v>3</v>
      </c>
      <c r="E26" s="2" t="s">
        <v>52</v>
      </c>
      <c r="F26" s="2" t="s">
        <v>42</v>
      </c>
      <c r="G26" s="3">
        <v>47</v>
      </c>
    </row>
    <row r="27" spans="1:7" x14ac:dyDescent="0.25">
      <c r="A27" s="2" t="s">
        <v>12</v>
      </c>
      <c r="B27" s="2" t="s">
        <v>22</v>
      </c>
      <c r="C27" s="2" t="s">
        <v>34</v>
      </c>
      <c r="D27" s="2">
        <v>2</v>
      </c>
      <c r="E27" s="2" t="s">
        <v>53</v>
      </c>
      <c r="F27" s="2" t="s">
        <v>42</v>
      </c>
      <c r="G27" s="3">
        <v>47</v>
      </c>
    </row>
    <row r="28" spans="1:7" x14ac:dyDescent="0.25">
      <c r="A28" s="2" t="s">
        <v>12</v>
      </c>
      <c r="B28" s="2" t="s">
        <v>22</v>
      </c>
      <c r="C28" s="2" t="s">
        <v>34</v>
      </c>
      <c r="D28" s="2">
        <v>1</v>
      </c>
      <c r="E28" s="2" t="s">
        <v>54</v>
      </c>
      <c r="F28" s="2" t="s">
        <v>42</v>
      </c>
      <c r="G28" s="3">
        <v>47</v>
      </c>
    </row>
    <row r="29" spans="1:7" x14ac:dyDescent="0.25">
      <c r="A29" s="2" t="s">
        <v>13</v>
      </c>
      <c r="B29" s="2" t="s">
        <v>22</v>
      </c>
      <c r="C29" s="2" t="s">
        <v>34</v>
      </c>
      <c r="D29" s="2">
        <v>5</v>
      </c>
      <c r="E29" s="2" t="s">
        <v>51</v>
      </c>
      <c r="F29" s="2" t="s">
        <v>42</v>
      </c>
      <c r="G29" s="3">
        <v>60</v>
      </c>
    </row>
    <row r="30" spans="1:7" x14ac:dyDescent="0.25">
      <c r="A30" s="2" t="s">
        <v>13</v>
      </c>
      <c r="B30" s="2" t="s">
        <v>22</v>
      </c>
      <c r="C30" s="2" t="s">
        <v>34</v>
      </c>
      <c r="D30" s="2">
        <v>4</v>
      </c>
      <c r="E30" s="2" t="s">
        <v>52</v>
      </c>
      <c r="F30" s="2" t="s">
        <v>42</v>
      </c>
      <c r="G30" s="3">
        <v>60</v>
      </c>
    </row>
    <row r="31" spans="1:7" x14ac:dyDescent="0.25">
      <c r="A31" s="2" t="s">
        <v>13</v>
      </c>
      <c r="B31" s="2" t="s">
        <v>22</v>
      </c>
      <c r="C31" s="2" t="s">
        <v>34</v>
      </c>
      <c r="D31" s="2">
        <v>3</v>
      </c>
      <c r="E31" s="2" t="s">
        <v>53</v>
      </c>
      <c r="F31" s="2" t="s">
        <v>42</v>
      </c>
      <c r="G31" s="3">
        <v>60</v>
      </c>
    </row>
    <row r="32" spans="1:7" x14ac:dyDescent="0.25">
      <c r="A32" s="2" t="s">
        <v>13</v>
      </c>
      <c r="B32" s="2" t="s">
        <v>22</v>
      </c>
      <c r="C32" s="2" t="s">
        <v>34</v>
      </c>
      <c r="D32" s="2">
        <v>2</v>
      </c>
      <c r="E32" s="2" t="s">
        <v>54</v>
      </c>
      <c r="F32" s="2" t="s">
        <v>42</v>
      </c>
      <c r="G32" s="3">
        <v>60</v>
      </c>
    </row>
    <row r="33" spans="1:7" x14ac:dyDescent="0.25">
      <c r="A33" s="2" t="s">
        <v>13</v>
      </c>
      <c r="B33" s="2" t="s">
        <v>22</v>
      </c>
      <c r="C33" s="2" t="s">
        <v>34</v>
      </c>
      <c r="D33" s="2">
        <v>1</v>
      </c>
      <c r="E33" s="2" t="s">
        <v>55</v>
      </c>
      <c r="F33" s="2" t="s">
        <v>42</v>
      </c>
      <c r="G33" s="3">
        <v>60</v>
      </c>
    </row>
    <row r="34" spans="1:7" x14ac:dyDescent="0.25">
      <c r="A34" s="2" t="s">
        <v>14</v>
      </c>
      <c r="B34" s="2" t="s">
        <v>23</v>
      </c>
      <c r="C34" s="2" t="s">
        <v>35</v>
      </c>
      <c r="D34" s="2">
        <v>3</v>
      </c>
      <c r="E34" s="2" t="s">
        <v>51</v>
      </c>
      <c r="F34" s="2" t="s">
        <v>42</v>
      </c>
      <c r="G34" s="3">
        <v>20</v>
      </c>
    </row>
    <row r="35" spans="1:7" x14ac:dyDescent="0.25">
      <c r="A35" s="2" t="s">
        <v>14</v>
      </c>
      <c r="B35" s="2" t="s">
        <v>23</v>
      </c>
      <c r="C35" s="2" t="s">
        <v>35</v>
      </c>
      <c r="D35" s="2">
        <v>2</v>
      </c>
      <c r="E35" s="2" t="s">
        <v>52</v>
      </c>
      <c r="F35" s="2" t="s">
        <v>42</v>
      </c>
      <c r="G35" s="3">
        <v>20</v>
      </c>
    </row>
    <row r="36" spans="1:7" x14ac:dyDescent="0.25">
      <c r="A36" s="2" t="s">
        <v>14</v>
      </c>
      <c r="B36" s="2" t="s">
        <v>23</v>
      </c>
      <c r="C36" s="2" t="s">
        <v>35</v>
      </c>
      <c r="D36" s="2">
        <v>1</v>
      </c>
      <c r="E36" s="2" t="s">
        <v>53</v>
      </c>
      <c r="F36" s="2" t="s">
        <v>42</v>
      </c>
      <c r="G36" s="3">
        <v>20</v>
      </c>
    </row>
    <row r="37" spans="1:7" x14ac:dyDescent="0.25">
      <c r="A37" s="2" t="s">
        <v>59</v>
      </c>
      <c r="B37" s="2" t="s">
        <v>25</v>
      </c>
      <c r="C37" s="2" t="s">
        <v>39</v>
      </c>
      <c r="D37" s="2">
        <v>7</v>
      </c>
      <c r="E37" s="2" t="s">
        <v>51</v>
      </c>
      <c r="F37" s="2" t="s">
        <v>25</v>
      </c>
      <c r="G37" s="3">
        <v>3400</v>
      </c>
    </row>
    <row r="38" spans="1:7" x14ac:dyDescent="0.25">
      <c r="A38" s="2" t="s">
        <v>60</v>
      </c>
      <c r="B38" s="2" t="s">
        <v>25</v>
      </c>
      <c r="C38" s="2" t="s">
        <v>40</v>
      </c>
      <c r="D38" s="2">
        <v>7</v>
      </c>
      <c r="E38" s="2" t="s">
        <v>51</v>
      </c>
      <c r="F38" s="2" t="s">
        <v>25</v>
      </c>
      <c r="G38" s="3">
        <v>1650</v>
      </c>
    </row>
    <row r="39" spans="1:7" x14ac:dyDescent="0.25">
      <c r="A39" s="2" t="s">
        <v>59</v>
      </c>
      <c r="B39" s="2" t="s">
        <v>25</v>
      </c>
      <c r="C39" s="2" t="s">
        <v>39</v>
      </c>
      <c r="D39" s="2">
        <v>6</v>
      </c>
      <c r="E39" s="2" t="s">
        <v>52</v>
      </c>
      <c r="F39" s="2" t="s">
        <v>25</v>
      </c>
      <c r="G39" s="3">
        <v>3400</v>
      </c>
    </row>
    <row r="40" spans="1:7" x14ac:dyDescent="0.25">
      <c r="A40" s="2" t="s">
        <v>60</v>
      </c>
      <c r="B40" s="2" t="s">
        <v>25</v>
      </c>
      <c r="C40" s="2" t="s">
        <v>40</v>
      </c>
      <c r="D40" s="2">
        <v>6</v>
      </c>
      <c r="E40" s="2" t="s">
        <v>52</v>
      </c>
      <c r="F40" s="2" t="s">
        <v>25</v>
      </c>
      <c r="G40" s="3">
        <v>1650</v>
      </c>
    </row>
    <row r="41" spans="1:7" x14ac:dyDescent="0.25">
      <c r="A41" s="2" t="s">
        <v>59</v>
      </c>
      <c r="B41" s="2" t="s">
        <v>25</v>
      </c>
      <c r="C41" s="2" t="s">
        <v>39</v>
      </c>
      <c r="D41" s="2">
        <v>5</v>
      </c>
      <c r="E41" s="2" t="s">
        <v>53</v>
      </c>
      <c r="F41" s="2" t="s">
        <v>25</v>
      </c>
      <c r="G41" s="3">
        <v>3400</v>
      </c>
    </row>
    <row r="42" spans="1:7" x14ac:dyDescent="0.25">
      <c r="A42" s="2" t="s">
        <v>60</v>
      </c>
      <c r="B42" s="2" t="s">
        <v>25</v>
      </c>
      <c r="C42" s="2" t="s">
        <v>40</v>
      </c>
      <c r="D42" s="2">
        <v>5</v>
      </c>
      <c r="E42" s="2" t="s">
        <v>53</v>
      </c>
      <c r="F42" s="2" t="s">
        <v>25</v>
      </c>
      <c r="G42" s="3">
        <v>1650</v>
      </c>
    </row>
    <row r="43" spans="1:7" x14ac:dyDescent="0.25">
      <c r="A43" s="2" t="s">
        <v>59</v>
      </c>
      <c r="B43" s="2" t="s">
        <v>25</v>
      </c>
      <c r="C43" s="2" t="s">
        <v>39</v>
      </c>
      <c r="D43" s="2">
        <v>4</v>
      </c>
      <c r="E43" s="2" t="s">
        <v>54</v>
      </c>
      <c r="F43" s="2" t="s">
        <v>25</v>
      </c>
      <c r="G43" s="3">
        <v>3400</v>
      </c>
    </row>
    <row r="44" spans="1:7" x14ac:dyDescent="0.25">
      <c r="A44" s="2" t="s">
        <v>60</v>
      </c>
      <c r="B44" s="2" t="s">
        <v>25</v>
      </c>
      <c r="C44" s="2" t="s">
        <v>40</v>
      </c>
      <c r="D44" s="2">
        <v>4</v>
      </c>
      <c r="E44" s="2" t="s">
        <v>54</v>
      </c>
      <c r="F44" s="2" t="s">
        <v>25</v>
      </c>
      <c r="G44" s="3">
        <v>1650</v>
      </c>
    </row>
    <row r="45" spans="1:7" x14ac:dyDescent="0.25">
      <c r="A45" s="2" t="s">
        <v>59</v>
      </c>
      <c r="B45" s="2" t="s">
        <v>25</v>
      </c>
      <c r="C45" s="2" t="s">
        <v>39</v>
      </c>
      <c r="D45" s="2">
        <v>3</v>
      </c>
      <c r="E45" s="2" t="s">
        <v>55</v>
      </c>
      <c r="F45" s="2" t="s">
        <v>25</v>
      </c>
      <c r="G45" s="3">
        <v>3400</v>
      </c>
    </row>
    <row r="46" spans="1:7" x14ac:dyDescent="0.25">
      <c r="A46" s="2" t="s">
        <v>60</v>
      </c>
      <c r="B46" s="2" t="s">
        <v>25</v>
      </c>
      <c r="C46" s="2" t="s">
        <v>40</v>
      </c>
      <c r="D46" s="2">
        <v>3</v>
      </c>
      <c r="E46" s="2" t="s">
        <v>55</v>
      </c>
      <c r="F46" s="2" t="s">
        <v>25</v>
      </c>
      <c r="G46" s="3">
        <v>1650</v>
      </c>
    </row>
    <row r="47" spans="1:7" x14ac:dyDescent="0.25">
      <c r="A47" s="2" t="s">
        <v>59</v>
      </c>
      <c r="B47" s="2" t="s">
        <v>25</v>
      </c>
      <c r="C47" s="2" t="s">
        <v>39</v>
      </c>
      <c r="D47" s="2">
        <v>2</v>
      </c>
      <c r="E47" s="2" t="s">
        <v>56</v>
      </c>
      <c r="F47" s="2" t="s">
        <v>25</v>
      </c>
      <c r="G47" s="3">
        <v>3400</v>
      </c>
    </row>
    <row r="48" spans="1:7" x14ac:dyDescent="0.25">
      <c r="A48" s="2" t="s">
        <v>60</v>
      </c>
      <c r="B48" s="2" t="s">
        <v>25</v>
      </c>
      <c r="C48" s="2" t="s">
        <v>40</v>
      </c>
      <c r="D48" s="2">
        <v>2</v>
      </c>
      <c r="E48" s="2" t="s">
        <v>56</v>
      </c>
      <c r="F48" s="2" t="s">
        <v>25</v>
      </c>
      <c r="G48" s="3">
        <v>1650</v>
      </c>
    </row>
    <row r="49" spans="1:7" x14ac:dyDescent="0.25">
      <c r="A49" s="2" t="s">
        <v>59</v>
      </c>
      <c r="B49" s="2" t="s">
        <v>25</v>
      </c>
      <c r="C49" s="2" t="s">
        <v>39</v>
      </c>
      <c r="D49" s="2">
        <v>1</v>
      </c>
      <c r="E49" s="2" t="s">
        <v>57</v>
      </c>
      <c r="F49" s="2" t="s">
        <v>25</v>
      </c>
      <c r="G49" s="3">
        <v>3400</v>
      </c>
    </row>
    <row r="50" spans="1:7" x14ac:dyDescent="0.25">
      <c r="A50" s="2" t="s">
        <v>60</v>
      </c>
      <c r="B50" s="2" t="s">
        <v>25</v>
      </c>
      <c r="C50" s="2" t="s">
        <v>40</v>
      </c>
      <c r="D50" s="2">
        <v>1</v>
      </c>
      <c r="E50" s="2" t="s">
        <v>57</v>
      </c>
      <c r="F50" s="2" t="s">
        <v>25</v>
      </c>
      <c r="G50" s="3">
        <v>1650</v>
      </c>
    </row>
    <row r="51" spans="1:7" x14ac:dyDescent="0.25">
      <c r="A51" s="2" t="s">
        <v>15</v>
      </c>
      <c r="B51" s="2" t="s">
        <v>24</v>
      </c>
      <c r="C51" s="2" t="s">
        <v>36</v>
      </c>
      <c r="D51" s="2">
        <v>7</v>
      </c>
      <c r="E51" s="2" t="s">
        <v>51</v>
      </c>
      <c r="F51" s="2" t="s">
        <v>42</v>
      </c>
      <c r="G51" s="3">
        <v>60</v>
      </c>
    </row>
    <row r="52" spans="1:7" x14ac:dyDescent="0.25">
      <c r="A52" s="2" t="s">
        <v>16</v>
      </c>
      <c r="B52" s="2" t="s">
        <v>24</v>
      </c>
      <c r="C52" s="2" t="s">
        <v>31</v>
      </c>
      <c r="D52" s="2">
        <v>7</v>
      </c>
      <c r="E52" s="2" t="s">
        <v>51</v>
      </c>
      <c r="F52" s="2" t="s">
        <v>42</v>
      </c>
      <c r="G52" s="3">
        <v>10</v>
      </c>
    </row>
    <row r="53" spans="1:7" x14ac:dyDescent="0.25">
      <c r="A53" s="2" t="s">
        <v>17</v>
      </c>
      <c r="B53" s="2" t="s">
        <v>24</v>
      </c>
      <c r="C53" s="2" t="s">
        <v>37</v>
      </c>
      <c r="D53" s="2">
        <v>7</v>
      </c>
      <c r="E53" s="2" t="s">
        <v>51</v>
      </c>
      <c r="F53" s="2" t="s">
        <v>42</v>
      </c>
      <c r="G53" s="3">
        <v>300</v>
      </c>
    </row>
    <row r="54" spans="1:7" x14ac:dyDescent="0.25">
      <c r="A54" s="2" t="s">
        <v>18</v>
      </c>
      <c r="B54" s="2" t="s">
        <v>24</v>
      </c>
      <c r="C54" s="2" t="s">
        <v>38</v>
      </c>
      <c r="D54" s="2">
        <v>7</v>
      </c>
      <c r="E54" s="2" t="s">
        <v>51</v>
      </c>
      <c r="F54" s="2" t="s">
        <v>42</v>
      </c>
      <c r="G54" s="3">
        <v>280</v>
      </c>
    </row>
    <row r="55" spans="1:7" x14ac:dyDescent="0.25">
      <c r="A55" s="2" t="s">
        <v>19</v>
      </c>
      <c r="B55" s="2" t="s">
        <v>24</v>
      </c>
      <c r="C55" s="2" t="s">
        <v>38</v>
      </c>
      <c r="D55" s="2">
        <v>7</v>
      </c>
      <c r="E55" s="2" t="s">
        <v>51</v>
      </c>
      <c r="F55" s="2" t="s">
        <v>42</v>
      </c>
      <c r="G55" s="3">
        <v>330</v>
      </c>
    </row>
    <row r="56" spans="1:7" x14ac:dyDescent="0.25">
      <c r="A56" s="2" t="s">
        <v>20</v>
      </c>
      <c r="B56" s="2" t="s">
        <v>24</v>
      </c>
      <c r="C56" s="2" t="s">
        <v>29</v>
      </c>
      <c r="D56" s="2">
        <v>7</v>
      </c>
      <c r="E56" s="2" t="s">
        <v>51</v>
      </c>
      <c r="F56" s="2" t="s">
        <v>42</v>
      </c>
      <c r="G56" s="3">
        <v>181</v>
      </c>
    </row>
    <row r="57" spans="1:7" x14ac:dyDescent="0.25">
      <c r="A57" s="2" t="s">
        <v>15</v>
      </c>
      <c r="B57" s="2" t="s">
        <v>24</v>
      </c>
      <c r="C57" s="2" t="s">
        <v>36</v>
      </c>
      <c r="D57" s="2">
        <v>6</v>
      </c>
      <c r="E57" s="2" t="s">
        <v>52</v>
      </c>
      <c r="F57" s="2" t="s">
        <v>42</v>
      </c>
      <c r="G57" s="3">
        <v>60</v>
      </c>
    </row>
    <row r="58" spans="1:7" x14ac:dyDescent="0.25">
      <c r="A58" s="2" t="s">
        <v>16</v>
      </c>
      <c r="B58" s="2" t="s">
        <v>24</v>
      </c>
      <c r="C58" s="2" t="s">
        <v>31</v>
      </c>
      <c r="D58" s="2">
        <v>6</v>
      </c>
      <c r="E58" s="2" t="s">
        <v>52</v>
      </c>
      <c r="F58" s="2" t="s">
        <v>42</v>
      </c>
      <c r="G58" s="3">
        <v>10</v>
      </c>
    </row>
    <row r="59" spans="1:7" x14ac:dyDescent="0.25">
      <c r="A59" s="2" t="s">
        <v>17</v>
      </c>
      <c r="B59" s="2" t="s">
        <v>24</v>
      </c>
      <c r="C59" s="2" t="s">
        <v>37</v>
      </c>
      <c r="D59" s="2">
        <v>6</v>
      </c>
      <c r="E59" s="2" t="s">
        <v>52</v>
      </c>
      <c r="F59" s="2" t="s">
        <v>42</v>
      </c>
      <c r="G59" s="3">
        <v>300</v>
      </c>
    </row>
    <row r="60" spans="1:7" x14ac:dyDescent="0.25">
      <c r="A60" s="2" t="s">
        <v>18</v>
      </c>
      <c r="B60" s="2" t="s">
        <v>24</v>
      </c>
      <c r="C60" s="2" t="s">
        <v>38</v>
      </c>
      <c r="D60" s="2">
        <v>6</v>
      </c>
      <c r="E60" s="2" t="s">
        <v>52</v>
      </c>
      <c r="F60" s="2" t="s">
        <v>42</v>
      </c>
      <c r="G60" s="3">
        <v>280</v>
      </c>
    </row>
    <row r="61" spans="1:7" x14ac:dyDescent="0.25">
      <c r="A61" s="2" t="s">
        <v>19</v>
      </c>
      <c r="B61" s="2" t="s">
        <v>24</v>
      </c>
      <c r="C61" s="2" t="s">
        <v>38</v>
      </c>
      <c r="D61" s="2">
        <v>6</v>
      </c>
      <c r="E61" s="2" t="s">
        <v>52</v>
      </c>
      <c r="F61" s="2" t="s">
        <v>42</v>
      </c>
      <c r="G61" s="3">
        <v>330</v>
      </c>
    </row>
    <row r="62" spans="1:7" x14ac:dyDescent="0.25">
      <c r="A62" s="2" t="s">
        <v>20</v>
      </c>
      <c r="B62" s="2" t="s">
        <v>24</v>
      </c>
      <c r="C62" s="2" t="s">
        <v>29</v>
      </c>
      <c r="D62" s="2">
        <v>6</v>
      </c>
      <c r="E62" s="2" t="s">
        <v>52</v>
      </c>
      <c r="F62" s="2" t="s">
        <v>42</v>
      </c>
      <c r="G62" s="3">
        <v>181</v>
      </c>
    </row>
    <row r="63" spans="1:7" x14ac:dyDescent="0.25">
      <c r="A63" s="2" t="s">
        <v>15</v>
      </c>
      <c r="B63" s="2" t="s">
        <v>24</v>
      </c>
      <c r="C63" s="2" t="s">
        <v>36</v>
      </c>
      <c r="D63" s="2">
        <v>5</v>
      </c>
      <c r="E63" s="2" t="s">
        <v>53</v>
      </c>
      <c r="F63" s="2" t="s">
        <v>42</v>
      </c>
      <c r="G63" s="3">
        <v>60</v>
      </c>
    </row>
    <row r="64" spans="1:7" x14ac:dyDescent="0.25">
      <c r="A64" s="2" t="s">
        <v>16</v>
      </c>
      <c r="B64" s="2" t="s">
        <v>24</v>
      </c>
      <c r="C64" s="2" t="s">
        <v>31</v>
      </c>
      <c r="D64" s="2">
        <v>5</v>
      </c>
      <c r="E64" s="2" t="s">
        <v>53</v>
      </c>
      <c r="F64" s="2" t="s">
        <v>42</v>
      </c>
      <c r="G64" s="3">
        <v>10</v>
      </c>
    </row>
    <row r="65" spans="1:7" x14ac:dyDescent="0.25">
      <c r="A65" s="2" t="s">
        <v>17</v>
      </c>
      <c r="B65" s="2" t="s">
        <v>24</v>
      </c>
      <c r="C65" s="2" t="s">
        <v>37</v>
      </c>
      <c r="D65" s="2">
        <v>5</v>
      </c>
      <c r="E65" s="2" t="s">
        <v>53</v>
      </c>
      <c r="F65" s="2" t="s">
        <v>42</v>
      </c>
      <c r="G65" s="3">
        <v>300</v>
      </c>
    </row>
    <row r="66" spans="1:7" x14ac:dyDescent="0.25">
      <c r="A66" s="2" t="s">
        <v>18</v>
      </c>
      <c r="B66" s="2" t="s">
        <v>24</v>
      </c>
      <c r="C66" s="2" t="s">
        <v>38</v>
      </c>
      <c r="D66" s="2">
        <v>5</v>
      </c>
      <c r="E66" s="2" t="s">
        <v>53</v>
      </c>
      <c r="F66" s="2" t="s">
        <v>42</v>
      </c>
      <c r="G66" s="3">
        <v>280</v>
      </c>
    </row>
    <row r="67" spans="1:7" x14ac:dyDescent="0.25">
      <c r="A67" s="2" t="s">
        <v>19</v>
      </c>
      <c r="B67" s="2" t="s">
        <v>24</v>
      </c>
      <c r="C67" s="2" t="s">
        <v>38</v>
      </c>
      <c r="D67" s="2">
        <v>5</v>
      </c>
      <c r="E67" s="2" t="s">
        <v>53</v>
      </c>
      <c r="F67" s="2" t="s">
        <v>42</v>
      </c>
      <c r="G67" s="3">
        <v>330</v>
      </c>
    </row>
    <row r="68" spans="1:7" x14ac:dyDescent="0.25">
      <c r="A68" s="2" t="s">
        <v>20</v>
      </c>
      <c r="B68" s="2" t="s">
        <v>24</v>
      </c>
      <c r="C68" s="2" t="s">
        <v>29</v>
      </c>
      <c r="D68" s="2">
        <v>5</v>
      </c>
      <c r="E68" s="2" t="s">
        <v>53</v>
      </c>
      <c r="F68" s="2" t="s">
        <v>42</v>
      </c>
      <c r="G68" s="3">
        <v>181</v>
      </c>
    </row>
    <row r="69" spans="1:7" x14ac:dyDescent="0.25">
      <c r="A69" s="2" t="s">
        <v>15</v>
      </c>
      <c r="B69" s="2" t="s">
        <v>24</v>
      </c>
      <c r="C69" s="2" t="s">
        <v>36</v>
      </c>
      <c r="D69" s="2">
        <v>4</v>
      </c>
      <c r="E69" s="2" t="s">
        <v>54</v>
      </c>
      <c r="F69" s="2" t="s">
        <v>42</v>
      </c>
      <c r="G69" s="3">
        <v>60</v>
      </c>
    </row>
    <row r="70" spans="1:7" x14ac:dyDescent="0.25">
      <c r="A70" s="2" t="s">
        <v>16</v>
      </c>
      <c r="B70" s="2" t="s">
        <v>24</v>
      </c>
      <c r="C70" s="2" t="s">
        <v>31</v>
      </c>
      <c r="D70" s="2">
        <v>4</v>
      </c>
      <c r="E70" s="2" t="s">
        <v>54</v>
      </c>
      <c r="F70" s="2" t="s">
        <v>42</v>
      </c>
      <c r="G70" s="3">
        <v>10</v>
      </c>
    </row>
    <row r="71" spans="1:7" x14ac:dyDescent="0.25">
      <c r="A71" s="2" t="s">
        <v>17</v>
      </c>
      <c r="B71" s="2" t="s">
        <v>24</v>
      </c>
      <c r="C71" s="2" t="s">
        <v>37</v>
      </c>
      <c r="D71" s="2">
        <v>4</v>
      </c>
      <c r="E71" s="2" t="s">
        <v>54</v>
      </c>
      <c r="F71" s="2" t="s">
        <v>42</v>
      </c>
      <c r="G71" s="3">
        <v>300</v>
      </c>
    </row>
    <row r="72" spans="1:7" x14ac:dyDescent="0.25">
      <c r="A72" s="2" t="s">
        <v>18</v>
      </c>
      <c r="B72" s="2" t="s">
        <v>24</v>
      </c>
      <c r="C72" s="2" t="s">
        <v>38</v>
      </c>
      <c r="D72" s="2">
        <v>4</v>
      </c>
      <c r="E72" s="2" t="s">
        <v>54</v>
      </c>
      <c r="F72" s="2" t="s">
        <v>42</v>
      </c>
      <c r="G72" s="3">
        <v>280</v>
      </c>
    </row>
    <row r="73" spans="1:7" x14ac:dyDescent="0.25">
      <c r="A73" s="2" t="s">
        <v>19</v>
      </c>
      <c r="B73" s="2" t="s">
        <v>24</v>
      </c>
      <c r="C73" s="2" t="s">
        <v>38</v>
      </c>
      <c r="D73" s="2">
        <v>4</v>
      </c>
      <c r="E73" s="2" t="s">
        <v>54</v>
      </c>
      <c r="F73" s="2" t="s">
        <v>42</v>
      </c>
      <c r="G73" s="3">
        <v>330</v>
      </c>
    </row>
    <row r="74" spans="1:7" x14ac:dyDescent="0.25">
      <c r="A74" s="2" t="s">
        <v>20</v>
      </c>
      <c r="B74" s="2" t="s">
        <v>24</v>
      </c>
      <c r="C74" s="2" t="s">
        <v>29</v>
      </c>
      <c r="D74" s="2">
        <v>4</v>
      </c>
      <c r="E74" s="2" t="s">
        <v>54</v>
      </c>
      <c r="F74" s="2" t="s">
        <v>42</v>
      </c>
      <c r="G74" s="3">
        <v>181</v>
      </c>
    </row>
    <row r="75" spans="1:7" x14ac:dyDescent="0.25">
      <c r="A75" s="2" t="s">
        <v>15</v>
      </c>
      <c r="B75" s="2" t="s">
        <v>24</v>
      </c>
      <c r="C75" s="2" t="s">
        <v>36</v>
      </c>
      <c r="D75" s="2">
        <v>3</v>
      </c>
      <c r="E75" s="2" t="s">
        <v>55</v>
      </c>
      <c r="F75" s="2" t="s">
        <v>42</v>
      </c>
      <c r="G75" s="3">
        <v>60</v>
      </c>
    </row>
    <row r="76" spans="1:7" x14ac:dyDescent="0.25">
      <c r="A76" s="2" t="s">
        <v>16</v>
      </c>
      <c r="B76" s="2" t="s">
        <v>24</v>
      </c>
      <c r="C76" s="2" t="s">
        <v>31</v>
      </c>
      <c r="D76" s="2">
        <v>3</v>
      </c>
      <c r="E76" s="2" t="s">
        <v>55</v>
      </c>
      <c r="F76" s="2" t="s">
        <v>42</v>
      </c>
      <c r="G76" s="3">
        <v>10</v>
      </c>
    </row>
    <row r="77" spans="1:7" x14ac:dyDescent="0.25">
      <c r="A77" s="2" t="s">
        <v>17</v>
      </c>
      <c r="B77" s="2" t="s">
        <v>24</v>
      </c>
      <c r="C77" s="2" t="s">
        <v>37</v>
      </c>
      <c r="D77" s="2">
        <v>3</v>
      </c>
      <c r="E77" s="2" t="s">
        <v>55</v>
      </c>
      <c r="F77" s="2" t="s">
        <v>42</v>
      </c>
      <c r="G77" s="3">
        <v>300</v>
      </c>
    </row>
    <row r="78" spans="1:7" x14ac:dyDescent="0.25">
      <c r="A78" s="2" t="s">
        <v>18</v>
      </c>
      <c r="B78" s="2" t="s">
        <v>24</v>
      </c>
      <c r="C78" s="2" t="s">
        <v>38</v>
      </c>
      <c r="D78" s="2">
        <v>3</v>
      </c>
      <c r="E78" s="2" t="s">
        <v>55</v>
      </c>
      <c r="F78" s="2" t="s">
        <v>42</v>
      </c>
      <c r="G78" s="3">
        <v>280</v>
      </c>
    </row>
    <row r="79" spans="1:7" x14ac:dyDescent="0.25">
      <c r="A79" s="2" t="s">
        <v>19</v>
      </c>
      <c r="B79" s="2" t="s">
        <v>24</v>
      </c>
      <c r="C79" s="2" t="s">
        <v>38</v>
      </c>
      <c r="D79" s="2">
        <v>3</v>
      </c>
      <c r="E79" s="2" t="s">
        <v>55</v>
      </c>
      <c r="F79" s="2" t="s">
        <v>42</v>
      </c>
      <c r="G79" s="3">
        <v>330</v>
      </c>
    </row>
    <row r="80" spans="1:7" x14ac:dyDescent="0.25">
      <c r="A80" s="2" t="s">
        <v>20</v>
      </c>
      <c r="B80" s="2" t="s">
        <v>24</v>
      </c>
      <c r="C80" s="2" t="s">
        <v>29</v>
      </c>
      <c r="D80" s="2">
        <v>3</v>
      </c>
      <c r="E80" s="2" t="s">
        <v>55</v>
      </c>
      <c r="F80" s="2" t="s">
        <v>42</v>
      </c>
      <c r="G80" s="3">
        <v>181</v>
      </c>
    </row>
    <row r="81" spans="1:7" x14ac:dyDescent="0.25">
      <c r="A81" s="2" t="s">
        <v>15</v>
      </c>
      <c r="B81" s="2" t="s">
        <v>24</v>
      </c>
      <c r="C81" s="2" t="s">
        <v>36</v>
      </c>
      <c r="D81" s="2">
        <v>2</v>
      </c>
      <c r="E81" s="2" t="s">
        <v>56</v>
      </c>
      <c r="F81" s="2" t="s">
        <v>42</v>
      </c>
      <c r="G81" s="3">
        <v>60</v>
      </c>
    </row>
    <row r="82" spans="1:7" x14ac:dyDescent="0.25">
      <c r="A82" s="2" t="s">
        <v>16</v>
      </c>
      <c r="B82" s="2" t="s">
        <v>24</v>
      </c>
      <c r="C82" s="2" t="s">
        <v>31</v>
      </c>
      <c r="D82" s="2">
        <v>2</v>
      </c>
      <c r="E82" s="2" t="s">
        <v>56</v>
      </c>
      <c r="F82" s="2" t="s">
        <v>42</v>
      </c>
      <c r="G82" s="3">
        <v>10</v>
      </c>
    </row>
    <row r="83" spans="1:7" x14ac:dyDescent="0.25">
      <c r="A83" s="2" t="s">
        <v>17</v>
      </c>
      <c r="B83" s="2" t="s">
        <v>24</v>
      </c>
      <c r="C83" s="2" t="s">
        <v>37</v>
      </c>
      <c r="D83" s="2">
        <v>2</v>
      </c>
      <c r="E83" s="2" t="s">
        <v>56</v>
      </c>
      <c r="F83" s="2" t="s">
        <v>42</v>
      </c>
      <c r="G83" s="3">
        <v>300</v>
      </c>
    </row>
    <row r="84" spans="1:7" x14ac:dyDescent="0.25">
      <c r="A84" s="2" t="s">
        <v>18</v>
      </c>
      <c r="B84" s="2" t="s">
        <v>24</v>
      </c>
      <c r="C84" s="2" t="s">
        <v>38</v>
      </c>
      <c r="D84" s="2">
        <v>2</v>
      </c>
      <c r="E84" s="2" t="s">
        <v>56</v>
      </c>
      <c r="F84" s="2" t="s">
        <v>42</v>
      </c>
      <c r="G84" s="3">
        <v>280</v>
      </c>
    </row>
    <row r="85" spans="1:7" x14ac:dyDescent="0.25">
      <c r="A85" s="2" t="s">
        <v>19</v>
      </c>
      <c r="B85" s="2" t="s">
        <v>24</v>
      </c>
      <c r="C85" s="2" t="s">
        <v>38</v>
      </c>
      <c r="D85" s="2">
        <v>2</v>
      </c>
      <c r="E85" s="2" t="s">
        <v>56</v>
      </c>
      <c r="F85" s="2" t="s">
        <v>42</v>
      </c>
      <c r="G85" s="3">
        <v>330</v>
      </c>
    </row>
    <row r="86" spans="1:7" x14ac:dyDescent="0.25">
      <c r="A86" s="2" t="s">
        <v>20</v>
      </c>
      <c r="B86" s="2" t="s">
        <v>24</v>
      </c>
      <c r="C86" s="2" t="s">
        <v>29</v>
      </c>
      <c r="D86" s="2">
        <v>2</v>
      </c>
      <c r="E86" s="2" t="s">
        <v>56</v>
      </c>
      <c r="F86" s="2" t="s">
        <v>42</v>
      </c>
      <c r="G86" s="3">
        <v>181</v>
      </c>
    </row>
    <row r="87" spans="1:7" x14ac:dyDescent="0.25">
      <c r="A87" s="2" t="s">
        <v>15</v>
      </c>
      <c r="B87" s="2" t="s">
        <v>24</v>
      </c>
      <c r="C87" s="2" t="s">
        <v>36</v>
      </c>
      <c r="D87" s="2">
        <v>1</v>
      </c>
      <c r="E87" s="2" t="s">
        <v>57</v>
      </c>
      <c r="F87" s="2" t="s">
        <v>42</v>
      </c>
      <c r="G87" s="3">
        <v>60</v>
      </c>
    </row>
    <row r="88" spans="1:7" x14ac:dyDescent="0.25">
      <c r="A88" s="2" t="s">
        <v>16</v>
      </c>
      <c r="B88" s="2" t="s">
        <v>24</v>
      </c>
      <c r="C88" s="2" t="s">
        <v>31</v>
      </c>
      <c r="D88" s="2">
        <v>1</v>
      </c>
      <c r="E88" s="2" t="s">
        <v>57</v>
      </c>
      <c r="F88" s="2" t="s">
        <v>42</v>
      </c>
      <c r="G88" s="3">
        <v>10</v>
      </c>
    </row>
    <row r="89" spans="1:7" x14ac:dyDescent="0.25">
      <c r="A89" s="2" t="s">
        <v>17</v>
      </c>
      <c r="B89" s="2" t="s">
        <v>24</v>
      </c>
      <c r="C89" s="2" t="s">
        <v>37</v>
      </c>
      <c r="D89" s="2">
        <v>1</v>
      </c>
      <c r="E89" s="2" t="s">
        <v>57</v>
      </c>
      <c r="F89" s="2" t="s">
        <v>42</v>
      </c>
      <c r="G89" s="3">
        <v>300</v>
      </c>
    </row>
    <row r="90" spans="1:7" x14ac:dyDescent="0.25">
      <c r="A90" s="2" t="s">
        <v>18</v>
      </c>
      <c r="B90" s="2" t="s">
        <v>24</v>
      </c>
      <c r="C90" s="2" t="s">
        <v>38</v>
      </c>
      <c r="D90" s="2">
        <v>1</v>
      </c>
      <c r="E90" s="2" t="s">
        <v>57</v>
      </c>
      <c r="F90" s="2" t="s">
        <v>42</v>
      </c>
      <c r="G90" s="3">
        <v>280</v>
      </c>
    </row>
    <row r="91" spans="1:7" x14ac:dyDescent="0.25">
      <c r="A91" s="2" t="s">
        <v>19</v>
      </c>
      <c r="B91" s="2" t="s">
        <v>24</v>
      </c>
      <c r="C91" s="2" t="s">
        <v>38</v>
      </c>
      <c r="D91" s="2">
        <v>1</v>
      </c>
      <c r="E91" s="2" t="s">
        <v>57</v>
      </c>
      <c r="F91" s="2" t="s">
        <v>42</v>
      </c>
      <c r="G91" s="3">
        <v>330</v>
      </c>
    </row>
    <row r="92" spans="1:7" x14ac:dyDescent="0.25">
      <c r="A92" s="2" t="s">
        <v>20</v>
      </c>
      <c r="B92" s="2" t="s">
        <v>24</v>
      </c>
      <c r="C92" s="2" t="s">
        <v>29</v>
      </c>
      <c r="D92" s="2">
        <v>1</v>
      </c>
      <c r="E92" s="2" t="s">
        <v>57</v>
      </c>
      <c r="F92" s="2" t="s">
        <v>42</v>
      </c>
      <c r="G92" s="3">
        <v>181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E4EA2-EB88-46E9-A7B3-E5DF342BBB4E}">
  <dimension ref="A1:E15"/>
  <sheetViews>
    <sheetView workbookViewId="0">
      <selection activeCell="G18" sqref="G18"/>
    </sheetView>
  </sheetViews>
  <sheetFormatPr defaultRowHeight="15" x14ac:dyDescent="0.25"/>
  <cols>
    <col min="1" max="1" width="11.5703125" bestFit="1" customWidth="1"/>
    <col min="2" max="2" width="16.5703125" bestFit="1" customWidth="1"/>
    <col min="3" max="3" width="15.28515625" bestFit="1" customWidth="1"/>
  </cols>
  <sheetData>
    <row r="1" spans="1:5" x14ac:dyDescent="0.25">
      <c r="A1" s="25" t="s">
        <v>45</v>
      </c>
      <c r="B1" s="25" t="s">
        <v>2</v>
      </c>
      <c r="C1" s="25" t="s">
        <v>26</v>
      </c>
      <c r="D1" s="25" t="s">
        <v>4</v>
      </c>
      <c r="E1" s="25" t="s">
        <v>3</v>
      </c>
    </row>
    <row r="2" spans="1:5" x14ac:dyDescent="0.25">
      <c r="A2" t="s">
        <v>46</v>
      </c>
      <c r="B2" s="23" t="s">
        <v>22</v>
      </c>
      <c r="C2" s="23" t="s">
        <v>29</v>
      </c>
      <c r="D2" s="23">
        <v>1</v>
      </c>
      <c r="E2" s="23" t="s">
        <v>42</v>
      </c>
    </row>
    <row r="3" spans="1:5" x14ac:dyDescent="0.25">
      <c r="A3" t="s">
        <v>47</v>
      </c>
      <c r="B3" s="23" t="s">
        <v>21</v>
      </c>
      <c r="C3" s="23" t="s">
        <v>34</v>
      </c>
      <c r="D3" s="23">
        <v>2</v>
      </c>
      <c r="E3" s="23" t="s">
        <v>25</v>
      </c>
    </row>
    <row r="4" spans="1:5" x14ac:dyDescent="0.25">
      <c r="A4" t="s">
        <v>48</v>
      </c>
      <c r="B4" s="23" t="s">
        <v>24</v>
      </c>
      <c r="C4" s="23" t="s">
        <v>37</v>
      </c>
      <c r="D4" s="23">
        <v>3</v>
      </c>
    </row>
    <row r="5" spans="1:5" x14ac:dyDescent="0.25">
      <c r="A5" t="s">
        <v>49</v>
      </c>
      <c r="B5" s="23" t="s">
        <v>23</v>
      </c>
      <c r="C5" s="23" t="s">
        <v>33</v>
      </c>
      <c r="D5" s="23">
        <v>4</v>
      </c>
    </row>
    <row r="6" spans="1:5" x14ac:dyDescent="0.25">
      <c r="A6" t="s">
        <v>50</v>
      </c>
      <c r="B6" s="23" t="s">
        <v>25</v>
      </c>
      <c r="C6" s="23" t="s">
        <v>40</v>
      </c>
      <c r="D6" s="23">
        <v>5</v>
      </c>
    </row>
    <row r="7" spans="1:5" x14ac:dyDescent="0.25">
      <c r="A7" t="s">
        <v>51</v>
      </c>
      <c r="C7" s="23" t="s">
        <v>27</v>
      </c>
      <c r="D7" s="23">
        <v>6</v>
      </c>
    </row>
    <row r="8" spans="1:5" x14ac:dyDescent="0.25">
      <c r="A8" t="s">
        <v>52</v>
      </c>
      <c r="C8" s="23" t="s">
        <v>30</v>
      </c>
      <c r="D8" s="23">
        <v>7</v>
      </c>
    </row>
    <row r="9" spans="1:5" x14ac:dyDescent="0.25">
      <c r="A9" t="s">
        <v>53</v>
      </c>
      <c r="C9" s="23" t="s">
        <v>36</v>
      </c>
      <c r="D9" s="23">
        <v>8</v>
      </c>
    </row>
    <row r="10" spans="1:5" x14ac:dyDescent="0.25">
      <c r="A10" t="s">
        <v>54</v>
      </c>
      <c r="C10" s="23" t="s">
        <v>35</v>
      </c>
      <c r="D10" s="23">
        <v>9</v>
      </c>
    </row>
    <row r="11" spans="1:5" x14ac:dyDescent="0.25">
      <c r="A11" t="s">
        <v>55</v>
      </c>
      <c r="C11" s="23" t="s">
        <v>39</v>
      </c>
      <c r="D11" s="23">
        <v>10</v>
      </c>
    </row>
    <row r="12" spans="1:5" x14ac:dyDescent="0.25">
      <c r="A12" t="s">
        <v>56</v>
      </c>
      <c r="C12" s="23" t="s">
        <v>31</v>
      </c>
      <c r="D12" s="23">
        <v>11</v>
      </c>
    </row>
    <row r="13" spans="1:5" x14ac:dyDescent="0.25">
      <c r="A13" t="s">
        <v>57</v>
      </c>
      <c r="C13" s="23" t="s">
        <v>32</v>
      </c>
      <c r="D13" s="23">
        <v>12</v>
      </c>
    </row>
    <row r="14" spans="1:5" x14ac:dyDescent="0.25">
      <c r="C14" s="23" t="s">
        <v>28</v>
      </c>
    </row>
    <row r="15" spans="1:5" x14ac:dyDescent="0.25">
      <c r="C15" s="23" t="s">
        <v>38</v>
      </c>
    </row>
  </sheetData>
  <phoneticPr fontId="4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98A8F-D41A-473F-8E23-680051D1CE11}">
  <dimension ref="A1:D16"/>
  <sheetViews>
    <sheetView workbookViewId="0">
      <selection activeCell="G12" sqref="G12"/>
    </sheetView>
  </sheetViews>
  <sheetFormatPr defaultRowHeight="15" x14ac:dyDescent="0.25"/>
  <cols>
    <col min="1" max="1" width="16.5703125" bestFit="1" customWidth="1"/>
    <col min="2" max="2" width="12.140625" style="1" bestFit="1" customWidth="1"/>
    <col min="3" max="3" width="15.28515625" bestFit="1" customWidth="1"/>
    <col min="4" max="4" width="12.140625" bestFit="1" customWidth="1"/>
  </cols>
  <sheetData>
    <row r="1" spans="1:4" x14ac:dyDescent="0.25">
      <c r="A1" s="25" t="s">
        <v>2</v>
      </c>
      <c r="B1" s="26" t="s">
        <v>64</v>
      </c>
      <c r="C1" s="25" t="s">
        <v>26</v>
      </c>
      <c r="D1" s="25" t="s">
        <v>64</v>
      </c>
    </row>
    <row r="2" spans="1:4" x14ac:dyDescent="0.25">
      <c r="A2" s="23" t="s">
        <v>22</v>
      </c>
      <c r="B2" s="27">
        <f>SUMIFS(DASHBOARD!$H$18:$H$1048576,DASHBOARD!$C$18:$C$1048576,'BASE DE CALCULO'!A2,DASHBOARD!$G$18:$G$1048576,"DESPESA")</f>
        <v>805.33</v>
      </c>
      <c r="C2" s="23" t="s">
        <v>29</v>
      </c>
      <c r="D2" s="27">
        <f>SUMIFS(DASHBOARD!$H$18:$H$1048576,DASHBOARD!$D$18:$D$1048576,'BASE DE CALCULO'!C2,DASHBOARD!$G$18:$G$1048576,"DESPESA")</f>
        <v>500.05</v>
      </c>
    </row>
    <row r="3" spans="1:4" x14ac:dyDescent="0.25">
      <c r="A3" s="23" t="s">
        <v>21</v>
      </c>
      <c r="B3" s="27">
        <f>SUMIFS(DASHBOARD!$H$18:$H$1048576,DASHBOARD!$C$18:$C$1048576,'BASE DE CALCULO'!A3,DASHBOARD!$G$18:$G$1048576,"DESPESA")</f>
        <v>896.05</v>
      </c>
      <c r="C3" s="23" t="s">
        <v>34</v>
      </c>
      <c r="D3" s="27">
        <f>SUMIFS(DASHBOARD!$H$18:$H$1048576,DASHBOARD!$D$18:$D$1048576,'BASE DE CALCULO'!C3,DASHBOARD!$G$18:$G$1048576,"DESPESA")</f>
        <v>107</v>
      </c>
    </row>
    <row r="4" spans="1:4" x14ac:dyDescent="0.25">
      <c r="A4" s="23" t="s">
        <v>24</v>
      </c>
      <c r="B4" s="27">
        <f>SUMIFS(DASHBOARD!$H$18:$H$1048576,DASHBOARD!$C$18:$C$1048576,'BASE DE CALCULO'!A4,DASHBOARD!$G$18:$G$1048576,"DESPESA")</f>
        <v>1161</v>
      </c>
      <c r="C4" s="23" t="s">
        <v>37</v>
      </c>
      <c r="D4" s="27">
        <f>SUMIFS(DASHBOARD!$H$18:$H$1048576,DASHBOARD!$D$18:$D$1048576,'BASE DE CALCULO'!C4,DASHBOARD!$G$18:$G$1048576,"DESPESA")</f>
        <v>300</v>
      </c>
    </row>
    <row r="5" spans="1:4" x14ac:dyDescent="0.25">
      <c r="A5" s="23" t="s">
        <v>23</v>
      </c>
      <c r="B5" s="27">
        <f>SUMIFS(DASHBOARD!$H$18:$H$1048576,DASHBOARD!$C$18:$C$1048576,'BASE DE CALCULO'!A5,DASHBOARD!$G$18:$G$1048576,"DESPESA")</f>
        <v>20</v>
      </c>
      <c r="C5" s="23" t="s">
        <v>33</v>
      </c>
      <c r="D5" s="27">
        <f>SUMIFS(DASHBOARD!$H$18:$H$1048576,DASHBOARD!$D$18:$D$1048576,'BASE DE CALCULO'!C5,DASHBOARD!$G$18:$G$1048576,"DESPESA")</f>
        <v>85</v>
      </c>
    </row>
    <row r="6" spans="1:4" x14ac:dyDescent="0.25">
      <c r="A6" s="23" t="s">
        <v>25</v>
      </c>
      <c r="B6" s="27">
        <f>SUMIFS(DASHBOARD!$H$18:$H$1048576,DASHBOARD!$C$18:$C$1048576,'BASE DE CALCULO'!A6,DASHBOARD!$G$18:$G$1048576,"DESPESA")</f>
        <v>0</v>
      </c>
      <c r="C6" s="23" t="s">
        <v>40</v>
      </c>
      <c r="D6" s="27">
        <f>SUMIFS(DASHBOARD!$H$18:$H$1048576,DASHBOARD!$D$18:$D$1048576,'BASE DE CALCULO'!C6,DASHBOARD!$G$18:$G$1048576,"DESPESA")</f>
        <v>0</v>
      </c>
    </row>
    <row r="7" spans="1:4" x14ac:dyDescent="0.25">
      <c r="C7" s="23" t="s">
        <v>27</v>
      </c>
      <c r="D7" s="27">
        <f>SUMIFS(DASHBOARD!$H$18:$H$1048576,DASHBOARD!$D$18:$D$1048576,'BASE DE CALCULO'!C7,DASHBOARD!$G$18:$G$1048576,"DESPESA")</f>
        <v>200</v>
      </c>
    </row>
    <row r="8" spans="1:4" x14ac:dyDescent="0.25">
      <c r="C8" s="23" t="s">
        <v>30</v>
      </c>
      <c r="D8" s="27">
        <f>SUMIFS(DASHBOARD!$H$18:$H$1048576,DASHBOARD!$D$18:$D$1048576,'BASE DE CALCULO'!C8,DASHBOARD!$G$18:$G$1048576,"DESPESA")</f>
        <v>177</v>
      </c>
    </row>
    <row r="9" spans="1:4" x14ac:dyDescent="0.25">
      <c r="C9" s="23" t="s">
        <v>36</v>
      </c>
      <c r="D9" s="27">
        <f>SUMIFS(DASHBOARD!$H$18:$H$1048576,DASHBOARD!$D$18:$D$1048576,'BASE DE CALCULO'!C9,DASHBOARD!$G$18:$G$1048576,"DESPESA")</f>
        <v>60</v>
      </c>
    </row>
    <row r="10" spans="1:4" x14ac:dyDescent="0.25">
      <c r="C10" s="23" t="s">
        <v>35</v>
      </c>
      <c r="D10" s="27">
        <f>SUMIFS(DASHBOARD!$H$18:$H$1048576,DASHBOARD!$D$18:$D$1048576,'BASE DE CALCULO'!C10,DASHBOARD!$G$18:$G$1048576,"DESPESA")</f>
        <v>20</v>
      </c>
    </row>
    <row r="11" spans="1:4" x14ac:dyDescent="0.25">
      <c r="C11" s="23" t="s">
        <v>39</v>
      </c>
      <c r="D11" s="27">
        <f>SUMIFS(DASHBOARD!$H$18:$H$1048576,DASHBOARD!$D$18:$D$1048576,'BASE DE CALCULO'!C11,DASHBOARD!$G$18:$G$1048576,"DESPESA")</f>
        <v>0</v>
      </c>
    </row>
    <row r="12" spans="1:4" x14ac:dyDescent="0.25">
      <c r="C12" s="23" t="s">
        <v>31</v>
      </c>
      <c r="D12" s="27">
        <f>SUMIFS(DASHBOARD!$H$18:$H$1048576,DASHBOARD!$D$18:$D$1048576,'BASE DE CALCULO'!C12,DASHBOARD!$G$18:$G$1048576,"DESPESA")</f>
        <v>173.33</v>
      </c>
    </row>
    <row r="13" spans="1:4" x14ac:dyDescent="0.25">
      <c r="C13" s="23" t="s">
        <v>32</v>
      </c>
      <c r="D13" s="27">
        <f>SUMIFS(DASHBOARD!$H$18:$H$1048576,DASHBOARD!$D$18:$D$1048576,'BASE DE CALCULO'!C13,DASHBOARD!$G$18:$G$1048576,"DESPESA")</f>
        <v>450</v>
      </c>
    </row>
    <row r="14" spans="1:4" x14ac:dyDescent="0.25">
      <c r="C14" s="23" t="s">
        <v>28</v>
      </c>
      <c r="D14" s="27">
        <f>SUMIFS(DASHBOARD!$H$18:$H$1048576,DASHBOARD!$D$18:$D$1048576,'BASE DE CALCULO'!C14,DASHBOARD!$G$18:$G$1048576,"DESPESA")</f>
        <v>200</v>
      </c>
    </row>
    <row r="15" spans="1:4" x14ac:dyDescent="0.25">
      <c r="C15" s="23" t="s">
        <v>38</v>
      </c>
      <c r="D15" s="27">
        <f>SUMIFS(DASHBOARD!$H$18:$H$1048576,DASHBOARD!$D$18:$D$1048576,'BASE DE CALCULO'!C15,DASHBOARD!$G$18:$G$1048576,"DESPESA")</f>
        <v>610</v>
      </c>
    </row>
    <row r="16" spans="1:4" x14ac:dyDescent="0.25">
      <c r="A16" s="24" t="b">
        <f>B16=D16</f>
        <v>1</v>
      </c>
      <c r="B16" s="28">
        <f>SUM(B2:B15)</f>
        <v>2882.38</v>
      </c>
      <c r="C16" s="24"/>
      <c r="D16" s="28">
        <f>SUM(D2:D15)</f>
        <v>2882.38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BASE</vt:lpstr>
      <vt:lpstr>DADOS</vt:lpstr>
      <vt:lpstr>BASE DE CALCULO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2025-04-30T00:10:21Z</dcterms:created>
  <dcterms:modified xsi:type="dcterms:W3CDTF">2025-05-01T00:12:58Z</dcterms:modified>
</cp:coreProperties>
</file>